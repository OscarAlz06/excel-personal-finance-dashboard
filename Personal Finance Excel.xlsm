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ink/ink1.xml" ContentType="application/inkml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c35a64e0df7de82a/Escritorio/PROYECTOS/Personal finances Project/"/>
    </mc:Choice>
  </mc:AlternateContent>
  <xr:revisionPtr revIDLastSave="0" documentId="8_{FFF8EC51-EA6E-429B-B5BF-012B9EF01CB1}" xr6:coauthVersionLast="47" xr6:coauthVersionMax="47" xr10:uidLastSave="{00000000-0000-0000-0000-000000000000}"/>
  <bookViews>
    <workbookView xWindow="-120" yWindow="-120" windowWidth="20730" windowHeight="11040" xr2:uid="{ECDF06D1-EA0F-42C4-8411-5AA641CA6A6F}"/>
  </bookViews>
  <sheets>
    <sheet name="RECORD" sheetId="1" r:id="rId1"/>
    <sheet name="BUDGET" sheetId="23" r:id="rId2"/>
    <sheet name="ANALYSIS" sheetId="11" r:id="rId3"/>
    <sheet name="LISTAS" sheetId="22" state="hidden" r:id="rId4"/>
    <sheet name="TABLAS GRAFICAS" sheetId="19" state="hidden" r:id="rId5"/>
    <sheet name="TABLA GASTOS PRE" sheetId="17" state="hidden" r:id="rId6"/>
    <sheet name="TABLA INGRESOS PRE" sheetId="16" state="hidden" r:id="rId7"/>
  </sheets>
  <definedNames>
    <definedName name="_xleta.IFNA" hidden="1" xlm="1">#NAME?</definedName>
    <definedName name="_xleta.MONTH" hidden="1" xlm="1">#NAME?</definedName>
    <definedName name="_xleta.NOT" hidden="1" xlm="1">#NAME?</definedName>
    <definedName name="AÑOS">'TABLA GASTOS PRE'!$2:$2</definedName>
    <definedName name="BALANCE_ACTUAL">Tabla2516[]</definedName>
    <definedName name="BALANCE_DE_DINERO">RECORD!$J$8:$J$198</definedName>
    <definedName name="BALANCE_INICIAL">RECORD!$D$7</definedName>
    <definedName name="BALANCE_REAL">Tabla2516[]</definedName>
    <definedName name="COSTO">#REF!</definedName>
    <definedName name="DESCRIPCION">RECORD!$G$8:$G$198</definedName>
    <definedName name="FECHA">RECORD!$F$9:$F$51</definedName>
    <definedName name="FRECUENCIA_DE_PAGO__QUINCENA">#REF!</definedName>
    <definedName name="LISTA_DESCRIPCIONES">RECORD!$M$9:$M$24</definedName>
    <definedName name="ME">'TABLA GASTOS PRE'!$3:$3</definedName>
    <definedName name="MESES" localSheetId="3">LISTAS!$B$2:$B$13</definedName>
    <definedName name="MESES">'TABLA GASTOS PRE'!$3:$3</definedName>
    <definedName name="MONTH">LISTAS!$B$2:$B$1048576</definedName>
    <definedName name="NAV_END">INDEX(RECORD!A:A,ROW(REGISTRO[])+4)</definedName>
    <definedName name="RECAUDO__QUINCENAL">#REF!</definedName>
    <definedName name="SegmentaciónDeDatos_Años__DATE">#N/A</definedName>
    <definedName name="SegmentaciónDeDatos_Meses__DATE">#N/A</definedName>
    <definedName name="TIPO">RECORD!$H$8:$H$198</definedName>
    <definedName name="TOTAL">RECORD!$I$8:$I$198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8" i="1" l="1"/>
  <c r="M20" i="11"/>
  <c r="M19" i="11"/>
  <c r="D14" i="23"/>
  <c r="E14" i="23" s="1"/>
  <c r="D25" i="23"/>
  <c r="D26" i="23" s="1"/>
  <c r="E26" i="23" s="1"/>
  <c r="D22" i="23"/>
  <c r="E22" i="23" s="1"/>
  <c r="D21" i="23"/>
  <c r="E21" i="23" s="1"/>
  <c r="D13" i="23"/>
  <c r="E13" i="23" s="1"/>
  <c r="D18" i="23"/>
  <c r="E18" i="23" s="1"/>
  <c r="D17" i="23"/>
  <c r="R19" i="11"/>
  <c r="C25" i="23"/>
  <c r="C26" i="23" s="1"/>
  <c r="C22" i="23"/>
  <c r="C21" i="23"/>
  <c r="C18" i="23"/>
  <c r="C17" i="23"/>
  <c r="C14" i="23"/>
  <c r="C13" i="23"/>
  <c r="C15" i="23" s="1"/>
  <c r="B26" i="23"/>
  <c r="B23" i="23"/>
  <c r="B19" i="23"/>
  <c r="B15" i="23"/>
  <c r="H20" i="11"/>
  <c r="R22" i="11"/>
  <c r="D16" i="1"/>
  <c r="M21" i="11"/>
  <c r="R20" i="11"/>
  <c r="R21" i="11"/>
  <c r="R23" i="11"/>
  <c r="H19" i="11"/>
  <c r="H21" i="11"/>
  <c r="H22" i="11"/>
  <c r="H23" i="11"/>
  <c r="H24" i="11"/>
  <c r="B3" i="22"/>
  <c r="B4" i="22"/>
  <c r="B5" i="22"/>
  <c r="B6" i="22"/>
  <c r="B7" i="22"/>
  <c r="B8" i="22"/>
  <c r="B9" i="22"/>
  <c r="B10" i="22"/>
  <c r="B11" i="22"/>
  <c r="B12" i="22"/>
  <c r="B13" i="22"/>
  <c r="B2" i="22"/>
  <c r="I8" i="1"/>
  <c r="J8" i="1" s="1"/>
  <c r="J9" i="1" s="1"/>
  <c r="J10" i="1" s="1"/>
  <c r="J11" i="1" s="1"/>
  <c r="I34" i="1"/>
  <c r="I35" i="1"/>
  <c r="I55" i="1"/>
  <c r="C8" i="11"/>
  <c r="D19" i="23" l="1"/>
  <c r="E19" i="23" s="1"/>
  <c r="E25" i="23"/>
  <c r="E17" i="23"/>
  <c r="D15" i="23"/>
  <c r="E15" i="23" s="1"/>
  <c r="C19" i="23"/>
  <c r="B6" i="23"/>
  <c r="B7" i="23" s="1"/>
  <c r="C23" i="23"/>
  <c r="D23" i="23"/>
  <c r="E23" i="23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M22" i="11"/>
  <c r="R24" i="11"/>
  <c r="H25" i="11"/>
  <c r="D7" i="11" s="1"/>
  <c r="J178" i="1" l="1"/>
  <c r="J179" i="1" s="1"/>
  <c r="J180" i="1" s="1"/>
  <c r="J181" i="1" s="1"/>
  <c r="J182" i="1" s="1"/>
  <c r="D8" i="11"/>
  <c r="D14" i="11" s="1"/>
  <c r="D9" i="11"/>
  <c r="D13" i="11" s="1"/>
  <c r="C9" i="11"/>
  <c r="D17" i="1" l="1" a="1"/>
  <c r="D17" i="1" s="1"/>
  <c r="D18" i="1" s="1"/>
  <c r="J183" i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D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tc={9EC3166C-1074-4C35-8B01-0245A8AC9F9B}</author>
  </authors>
  <commentList>
    <comment ref="D7" authorId="0" shapeId="0" xr:uid="{9EC3166C-1074-4C35-8B01-0245A8AC9F9B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Ingresa tu balance inicial de dinero para empezar a registrar tus gastos e ingresos.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<sst xmlns="http://schemas.openxmlformats.org/spreadsheetml/2006/main" count="601" uniqueCount="78">
  <si>
    <t>TOTAL</t>
  </si>
  <si>
    <t>QUORE</t>
  </si>
  <si>
    <t>TRANSPORTE</t>
  </si>
  <si>
    <t>QUINCENA</t>
  </si>
  <si>
    <t>Total general</t>
  </si>
  <si>
    <t>Suma de TOTAL</t>
  </si>
  <si>
    <t>EFECTIVO</t>
  </si>
  <si>
    <t>BALANCE</t>
  </si>
  <si>
    <t>SALIDAS</t>
  </si>
  <si>
    <t>SUPLEMENTOS</t>
  </si>
  <si>
    <t>MONEDAS</t>
  </si>
  <si>
    <t>PRESTAMO</t>
  </si>
  <si>
    <t>jul</t>
  </si>
  <si>
    <t>ago</t>
  </si>
  <si>
    <t>TABLA DE GASTOS</t>
  </si>
  <si>
    <t>Total</t>
  </si>
  <si>
    <t>AHORROS</t>
  </si>
  <si>
    <t>2025</t>
  </si>
  <si>
    <t>Etiquetas de fila</t>
  </si>
  <si>
    <t>Etiquetas de columna</t>
  </si>
  <si>
    <t>PROTEINA</t>
  </si>
  <si>
    <t>FREELANCE</t>
  </si>
  <si>
    <t>SERVICIOS</t>
  </si>
  <si>
    <t>ALIMENTACIÓN</t>
  </si>
  <si>
    <t>EXTRAS</t>
  </si>
  <si>
    <t>sep</t>
  </si>
  <si>
    <t>TYPE</t>
  </si>
  <si>
    <t>BUDGET</t>
  </si>
  <si>
    <t>REAL BALANCE</t>
  </si>
  <si>
    <t>PERCENTAGES</t>
  </si>
  <si>
    <t>SAVING</t>
  </si>
  <si>
    <t>EXPENSES</t>
  </si>
  <si>
    <t>TOTAL EXPENSES</t>
  </si>
  <si>
    <t>TOTAL SAVINGS</t>
  </si>
  <si>
    <t>SUMMARY</t>
  </si>
  <si>
    <t>YEAR</t>
  </si>
  <si>
    <t>AMOUNT</t>
  </si>
  <si>
    <t>INCOME</t>
  </si>
  <si>
    <t>TOTAL INCOME</t>
  </si>
  <si>
    <t>FIXED EXPENSES</t>
  </si>
  <si>
    <t>VARIABLE EXPENSES</t>
  </si>
  <si>
    <t>START BALANCE</t>
  </si>
  <si>
    <t>ACCOUNT</t>
  </si>
  <si>
    <t>DESCRIPTION</t>
  </si>
  <si>
    <t>DATE</t>
  </si>
  <si>
    <t>MONEY BALANCE</t>
  </si>
  <si>
    <t>EXPENSE</t>
  </si>
  <si>
    <t>DESCRIPTION I/E</t>
  </si>
  <si>
    <t>ACTUAL PROPORTION</t>
  </si>
  <si>
    <t>oct</t>
  </si>
  <si>
    <t>INESPERADO</t>
  </si>
  <si>
    <t>nov</t>
  </si>
  <si>
    <t>dic</t>
  </si>
  <si>
    <t>CATEGORIA</t>
  </si>
  <si>
    <t>MONTH</t>
  </si>
  <si>
    <t>ESTIMATED MONTHLY INCOME</t>
  </si>
  <si>
    <t>REAL</t>
  </si>
  <si>
    <t>SOCIAL LIFE</t>
  </si>
  <si>
    <t>UNIVERSITY</t>
  </si>
  <si>
    <t>GYM</t>
  </si>
  <si>
    <t>ICLOUD</t>
  </si>
  <si>
    <t>APPLE MUSIC</t>
  </si>
  <si>
    <t>ene</t>
  </si>
  <si>
    <t>2026</t>
  </si>
  <si>
    <t>feb</t>
  </si>
  <si>
    <t>FEB</t>
  </si>
  <si>
    <t>Total registered</t>
  </si>
  <si>
    <t>Total theorical</t>
  </si>
  <si>
    <t>¿Balance?</t>
  </si>
  <si>
    <t>Discrepancy</t>
  </si>
  <si>
    <t>BUDGET (MONTHLY)</t>
  </si>
  <si>
    <t>FORTNIGHTLY</t>
  </si>
  <si>
    <t>ESTIMATED MONTHLY EXPENSE</t>
  </si>
  <si>
    <t>ESTIMATED SAVINGS</t>
  </si>
  <si>
    <t>%USAGE</t>
  </si>
  <si>
    <t>mar</t>
  </si>
  <si>
    <t>PESTAMOS</t>
  </si>
  <si>
    <t xml:space="preserve">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</si>
</sst>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 mmmm\ &quot;de&quot;\ yyyy"/>
    <numFmt numFmtId="166" formatCode="&quot;$&quot;\ #,##0.00"/>
  </numFmts>
  <fonts count="22" x14ac:knownFonts="1">
    <font>
      <sz val="11"/>
      <color theme="1"/>
      <name val="Raleway"/>
      <family val="2"/>
      <scheme val="minor"/>
    </font>
    <font>
      <sz val="11"/>
      <color theme="1"/>
      <name val="Raleway"/>
      <family val="2"/>
      <scheme val="minor"/>
    </font>
    <font>
      <sz val="28"/>
      <color theme="1"/>
      <name val="Candara Light"/>
      <family val="2"/>
    </font>
    <font>
      <sz val="8"/>
      <name val="Raleway"/>
      <family val="2"/>
      <scheme val="minor"/>
    </font>
    <font>
      <b/>
      <sz val="28"/>
      <color theme="1"/>
      <name val="Raleway"/>
      <family val="2"/>
      <scheme val="minor"/>
    </font>
    <font>
      <b/>
      <sz val="36"/>
      <color theme="1"/>
      <name val="Raleway"/>
      <family val="2"/>
      <scheme val="minor"/>
    </font>
    <font>
      <sz val="28"/>
      <color theme="1"/>
      <name val="Raleway"/>
      <family val="2"/>
      <scheme val="minor"/>
    </font>
    <font>
      <sz val="72"/>
      <color theme="1"/>
      <name val="Raleway"/>
      <scheme val="major"/>
    </font>
    <font>
      <sz val="72"/>
      <color theme="1"/>
      <name val="Raleway"/>
      <scheme val="minor"/>
    </font>
    <font>
      <b/>
      <sz val="48"/>
      <color theme="1"/>
      <name val="Raleway"/>
      <scheme val="minor"/>
    </font>
    <font>
      <b/>
      <sz val="28"/>
      <color theme="1"/>
      <name val="Raleway"/>
      <scheme val="minor"/>
    </font>
    <font>
      <i/>
      <sz val="28"/>
      <color theme="1"/>
      <name val="Raleway"/>
      <scheme val="minor"/>
    </font>
    <font>
      <sz val="11"/>
      <color theme="0"/>
      <name val="Raleway"/>
      <family val="2"/>
      <scheme val="minor"/>
    </font>
    <font>
      <b/>
      <sz val="72"/>
      <color theme="1"/>
      <name val="Raleway"/>
      <scheme val="minor"/>
    </font>
    <font>
      <b/>
      <sz val="72"/>
      <color theme="1"/>
      <name val="Raleway"/>
      <family val="2"/>
      <scheme val="minor"/>
    </font>
    <font>
      <sz val="72"/>
      <color theme="1"/>
      <name val="Raleway"/>
      <family val="2"/>
      <scheme val="minor"/>
    </font>
    <font>
      <b/>
      <sz val="14"/>
      <name val="Raleway"/>
      <scheme val="minor"/>
    </font>
    <font>
      <sz val="14"/>
      <color theme="1"/>
      <name val="Raleway"/>
      <scheme val="minor"/>
    </font>
    <font>
      <b/>
      <sz val="14"/>
      <color theme="1"/>
      <name val="Raleway"/>
      <scheme val="minor"/>
    </font>
    <font>
      <sz val="14"/>
      <color theme="1" tint="4.9989318521683403E-2"/>
      <name val="Raleway"/>
      <scheme val="minor"/>
    </font>
    <font>
      <sz val="14"/>
      <color theme="3" tint="9.9978637043366805E-2"/>
      <name val="Raleway"/>
      <scheme val="minor"/>
    </font>
    <font>
      <b/>
      <sz val="14"/>
      <color theme="3" tint="9.9978637043366805E-2"/>
      <name val="Raleway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/>
      <diagonal/>
    </border>
    <border>
      <left style="thin">
        <color theme="9" tint="0.59999389629810485"/>
      </left>
      <right/>
      <top/>
      <bottom/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theme="9" tint="0.59999389629810485"/>
      </left>
      <right/>
      <top style="medium">
        <color theme="9" tint="0.59999389629810485"/>
      </top>
      <bottom style="thin">
        <color theme="1"/>
      </bottom>
      <diagonal/>
    </border>
    <border>
      <left/>
      <right/>
      <top style="medium">
        <color theme="9" tint="0.59999389629810485"/>
      </top>
      <bottom style="thin">
        <color theme="1"/>
      </bottom>
      <diagonal/>
    </border>
    <border>
      <left/>
      <right style="medium">
        <color theme="9" tint="0.59999389629810485"/>
      </right>
      <top style="medium">
        <color theme="9" tint="0.59999389629810485"/>
      </top>
      <bottom style="thin">
        <color theme="1"/>
      </bottom>
      <diagonal/>
    </border>
    <border>
      <left style="medium">
        <color theme="9" tint="0.59999389629810485"/>
      </left>
      <right/>
      <top style="thin">
        <color theme="1"/>
      </top>
      <bottom style="thin">
        <color theme="1"/>
      </bottom>
      <diagonal/>
    </border>
    <border>
      <left/>
      <right style="medium">
        <color theme="9" tint="0.59999389629810485"/>
      </right>
      <top style="thin">
        <color theme="1"/>
      </top>
      <bottom style="thin">
        <color theme="1"/>
      </bottom>
      <diagonal/>
    </border>
    <border>
      <left style="medium">
        <color theme="9" tint="0.59999389629810485"/>
      </left>
      <right/>
      <top style="thin">
        <color theme="1"/>
      </top>
      <bottom style="medium">
        <color theme="9" tint="0.59999389629810485"/>
      </bottom>
      <diagonal/>
    </border>
    <border>
      <left/>
      <right/>
      <top style="thin">
        <color theme="1"/>
      </top>
      <bottom style="medium">
        <color theme="9" tint="0.59999389629810485"/>
      </bottom>
      <diagonal/>
    </border>
    <border>
      <left/>
      <right style="medium">
        <color theme="9" tint="0.59999389629810485"/>
      </right>
      <top style="thin">
        <color theme="1"/>
      </top>
      <bottom style="medium">
        <color theme="9" tint="0.599993896298104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2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164" fontId="6" fillId="0" borderId="0" xfId="0" applyNumberFormat="1" applyFont="1"/>
    <xf numFmtId="0" fontId="5" fillId="0" borderId="0" xfId="0" applyFont="1"/>
    <xf numFmtId="44" fontId="0" fillId="0" borderId="1" xfId="0" applyNumberFormat="1" applyBorder="1"/>
    <xf numFmtId="44" fontId="0" fillId="0" borderId="5" xfId="0" applyNumberFormat="1" applyBorder="1"/>
    <xf numFmtId="44" fontId="0" fillId="0" borderId="2" xfId="0" applyNumberFormat="1" applyBorder="1"/>
    <xf numFmtId="0" fontId="10" fillId="0" borderId="0" xfId="0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4" xfId="0" applyFont="1" applyBorder="1"/>
    <xf numFmtId="164" fontId="8" fillId="0" borderId="3" xfId="1" applyNumberFormat="1" applyFont="1" applyBorder="1" applyProtection="1">
      <protection locked="0"/>
    </xf>
    <xf numFmtId="164" fontId="8" fillId="0" borderId="3" xfId="0" applyNumberFormat="1" applyFont="1" applyBorder="1"/>
    <xf numFmtId="164" fontId="8" fillId="0" borderId="3" xfId="1" applyNumberFormat="1" applyFont="1" applyBorder="1"/>
    <xf numFmtId="0" fontId="8" fillId="0" borderId="0" xfId="0" applyFont="1"/>
    <xf numFmtId="0" fontId="13" fillId="0" borderId="3" xfId="0" applyFont="1" applyBorder="1"/>
    <xf numFmtId="9" fontId="8" fillId="0" borderId="3" xfId="2" applyFont="1" applyBorder="1" applyProtection="1">
      <protection locked="0"/>
    </xf>
    <xf numFmtId="9" fontId="8" fillId="0" borderId="3" xfId="2" applyFont="1" applyBorder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/>
    <xf numFmtId="164" fontId="15" fillId="0" borderId="0" xfId="1" applyNumberFormat="1" applyFont="1"/>
    <xf numFmtId="164" fontId="15" fillId="0" borderId="0" xfId="0" applyNumberFormat="1" applyFont="1"/>
    <xf numFmtId="0" fontId="16" fillId="0" borderId="10" xfId="0" applyFont="1" applyBorder="1" applyAlignment="1">
      <alignment horizontal="left"/>
    </xf>
    <xf numFmtId="0" fontId="17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left"/>
    </xf>
    <xf numFmtId="14" fontId="17" fillId="0" borderId="13" xfId="0" applyNumberFormat="1" applyFont="1" applyBorder="1" applyAlignment="1">
      <alignment horizontal="center"/>
    </xf>
    <xf numFmtId="44" fontId="17" fillId="0" borderId="13" xfId="1" applyFont="1" applyBorder="1" applyAlignment="1">
      <alignment horizontal="center"/>
    </xf>
    <xf numFmtId="0" fontId="18" fillId="0" borderId="21" xfId="0" applyFont="1" applyBorder="1" applyAlignment="1">
      <alignment horizontal="left"/>
    </xf>
    <xf numFmtId="44" fontId="17" fillId="0" borderId="22" xfId="1" applyFont="1" applyBorder="1" applyAlignment="1">
      <alignment horizontal="center"/>
    </xf>
    <xf numFmtId="0" fontId="18" fillId="0" borderId="14" xfId="0" applyFont="1" applyBorder="1" applyAlignment="1">
      <alignment horizontal="left"/>
    </xf>
    <xf numFmtId="9" fontId="17" fillId="0" borderId="15" xfId="2" applyFont="1" applyBorder="1" applyAlignment="1">
      <alignment horizontal="center"/>
    </xf>
    <xf numFmtId="0" fontId="17" fillId="6" borderId="23" xfId="0" applyFont="1" applyFill="1" applyBorder="1" applyAlignment="1">
      <alignment horizontal="center"/>
    </xf>
    <xf numFmtId="0" fontId="17" fillId="6" borderId="24" xfId="0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8" fillId="7" borderId="26" xfId="0" applyFont="1" applyFill="1" applyBorder="1" applyAlignment="1">
      <alignment horizontal="center"/>
    </xf>
    <xf numFmtId="0" fontId="18" fillId="7" borderId="16" xfId="0" applyFont="1" applyFill="1" applyBorder="1" applyAlignment="1">
      <alignment horizontal="center"/>
    </xf>
    <xf numFmtId="0" fontId="18" fillId="7" borderId="27" xfId="0" applyFont="1" applyFill="1" applyBorder="1" applyAlignment="1">
      <alignment horizontal="center"/>
    </xf>
    <xf numFmtId="0" fontId="17" fillId="0" borderId="26" xfId="0" applyFont="1" applyBorder="1" applyAlignment="1">
      <alignment horizontal="center"/>
    </xf>
    <xf numFmtId="44" fontId="17" fillId="0" borderId="16" xfId="1" applyFont="1" applyBorder="1" applyAlignment="1">
      <alignment horizontal="center"/>
    </xf>
    <xf numFmtId="44" fontId="17" fillId="0" borderId="16" xfId="1" quotePrefix="1" applyFont="1" applyBorder="1" applyAlignment="1">
      <alignment horizontal="center"/>
    </xf>
    <xf numFmtId="9" fontId="18" fillId="0" borderId="27" xfId="2" quotePrefix="1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9" fontId="18" fillId="7" borderId="27" xfId="2" applyFont="1" applyFill="1" applyBorder="1" applyAlignment="1">
      <alignment horizontal="center"/>
    </xf>
    <xf numFmtId="9" fontId="18" fillId="0" borderId="27" xfId="2" applyFont="1" applyBorder="1" applyAlignment="1">
      <alignment horizontal="center"/>
    </xf>
    <xf numFmtId="0" fontId="18" fillId="7" borderId="16" xfId="0" applyFont="1" applyFill="1" applyBorder="1"/>
    <xf numFmtId="9" fontId="18" fillId="7" borderId="27" xfId="2" applyFont="1" applyFill="1" applyBorder="1" applyAlignment="1"/>
    <xf numFmtId="0" fontId="18" fillId="0" borderId="28" xfId="0" applyFont="1" applyBorder="1" applyAlignment="1">
      <alignment horizontal="center"/>
    </xf>
    <xf numFmtId="44" fontId="17" fillId="0" borderId="29" xfId="1" applyFont="1" applyBorder="1" applyAlignment="1">
      <alignment horizontal="center"/>
    </xf>
    <xf numFmtId="9" fontId="18" fillId="0" borderId="30" xfId="2" applyFont="1" applyBorder="1" applyAlignment="1">
      <alignment horizontal="center"/>
    </xf>
    <xf numFmtId="0" fontId="17" fillId="0" borderId="0" xfId="0" applyFont="1" applyProtection="1">
      <protection locked="0"/>
    </xf>
    <xf numFmtId="44" fontId="17" fillId="0" borderId="0" xfId="1" applyFont="1" applyProtection="1">
      <protection locked="0"/>
    </xf>
    <xf numFmtId="166" fontId="17" fillId="0" borderId="0" xfId="1" applyNumberFormat="1" applyFont="1" applyBorder="1" applyAlignment="1">
      <alignment horizontal="left"/>
    </xf>
    <xf numFmtId="0" fontId="18" fillId="0" borderId="0" xfId="0" applyFont="1" applyProtection="1">
      <protection locked="0"/>
    </xf>
    <xf numFmtId="44" fontId="18" fillId="0" borderId="0" xfId="1" applyFont="1" applyProtection="1"/>
    <xf numFmtId="0" fontId="17" fillId="0" borderId="18" xfId="0" applyFont="1" applyBorder="1" applyProtection="1">
      <protection locked="0"/>
    </xf>
    <xf numFmtId="44" fontId="17" fillId="0" borderId="18" xfId="1" applyFont="1" applyBorder="1" applyProtection="1">
      <protection locked="0"/>
    </xf>
    <xf numFmtId="0" fontId="18" fillId="0" borderId="18" xfId="0" applyFont="1" applyBorder="1"/>
    <xf numFmtId="44" fontId="18" fillId="0" borderId="18" xfId="1" applyFont="1" applyBorder="1"/>
    <xf numFmtId="0" fontId="18" fillId="0" borderId="18" xfId="0" applyFont="1" applyBorder="1" applyAlignment="1">
      <alignment horizontal="center"/>
    </xf>
    <xf numFmtId="14" fontId="17" fillId="0" borderId="0" xfId="0" applyNumberFormat="1" applyFont="1"/>
    <xf numFmtId="0" fontId="17" fillId="0" borderId="0" xfId="0" applyFont="1"/>
    <xf numFmtId="44" fontId="17" fillId="0" borderId="0" xfId="1" applyFont="1"/>
    <xf numFmtId="44" fontId="17" fillId="0" borderId="0" xfId="1" applyFont="1" applyAlignment="1">
      <alignment horizontal="left"/>
    </xf>
    <xf numFmtId="0" fontId="19" fillId="3" borderId="3" xfId="0" applyFont="1" applyFill="1" applyBorder="1"/>
    <xf numFmtId="44" fontId="19" fillId="2" borderId="3" xfId="1" applyFont="1" applyFill="1" applyBorder="1" applyProtection="1">
      <protection locked="0"/>
    </xf>
    <xf numFmtId="14" fontId="20" fillId="2" borderId="0" xfId="0" applyNumberFormat="1" applyFont="1" applyFill="1" applyAlignment="1">
      <alignment horizontal="left"/>
    </xf>
    <xf numFmtId="0" fontId="20" fillId="2" borderId="0" xfId="0" applyFont="1" applyFill="1" applyAlignment="1">
      <alignment horizontal="left"/>
    </xf>
    <xf numFmtId="44" fontId="20" fillId="2" borderId="0" xfId="0" applyNumberFormat="1" applyFont="1" applyFill="1" applyAlignment="1">
      <alignment horizontal="left"/>
    </xf>
    <xf numFmtId="14" fontId="17" fillId="0" borderId="0" xfId="1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17" fillId="0" borderId="0" xfId="1" applyNumberFormat="1" applyFont="1" applyBorder="1" applyAlignment="1">
      <alignment horizontal="left"/>
    </xf>
    <xf numFmtId="0" fontId="17" fillId="0" borderId="0" xfId="0" applyFont="1" applyAlignment="1" applyProtection="1">
      <alignment horizontal="left"/>
      <protection locked="0"/>
    </xf>
    <xf numFmtId="14" fontId="17" fillId="0" borderId="19" xfId="0" applyNumberFormat="1" applyFont="1" applyBorder="1"/>
    <xf numFmtId="0" fontId="17" fillId="0" borderId="0" xfId="1" applyNumberFormat="1" applyFont="1" applyAlignment="1">
      <alignment horizontal="left"/>
    </xf>
    <xf numFmtId="44" fontId="17" fillId="0" borderId="20" xfId="1" applyFont="1" applyBorder="1"/>
    <xf numFmtId="44" fontId="17" fillId="0" borderId="17" xfId="1" applyFont="1" applyBorder="1"/>
    <xf numFmtId="166" fontId="17" fillId="0" borderId="0" xfId="1" applyNumberFormat="1" applyFont="1" applyAlignment="1">
      <alignment horizontal="left"/>
    </xf>
    <xf numFmtId="44" fontId="21" fillId="2" borderId="6" xfId="0" applyNumberFormat="1" applyFont="1" applyFill="1" applyBorder="1" applyAlignment="1">
      <alignment horizontal="center"/>
    </xf>
    <xf numFmtId="44" fontId="21" fillId="2" borderId="7" xfId="0" applyNumberFormat="1" applyFont="1" applyFill="1" applyBorder="1" applyAlignment="1">
      <alignment horizontal="center"/>
    </xf>
    <xf numFmtId="44" fontId="11" fillId="4" borderId="0" xfId="1" applyFont="1" applyFill="1" applyAlignment="1">
      <alignment horizontal="center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7" fillId="5" borderId="0" xfId="0" applyFont="1" applyFill="1" applyAlignment="1" applyProtection="1">
      <alignment horizontal="center" vertical="center"/>
      <protection locked="0"/>
    </xf>
    <xf numFmtId="0" fontId="8" fillId="2" borderId="5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13" fillId="0" borderId="3" xfId="0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66">
    <dxf>
      <numFmt numFmtId="34" formatCode="_-&quot;$&quot;\ * #,##0.00_-;\-&quot;$&quot;\ * #,##0.00_-;_-&quot;$&quot;\ * &quot;-&quot;??_-;_-@_-"/>
    </dxf>
    <dxf>
      <border>
        <horizontal style="thin">
          <color auto="1"/>
        </horizontal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Raleway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Raleway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Raleway"/>
        <family val="2"/>
        <scheme val="minor"/>
      </font>
      <numFmt numFmtId="164" formatCode="_-&quot;$&quot;\ * #,##0_-;\-&quot;$&quot;\ * #,##0_-;_-&quot;$&quot;\ * &quot;-&quot;??_-;_-@_-"/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ont>
        <strike val="0"/>
        <outline val="0"/>
        <shadow val="0"/>
        <u val="none"/>
        <vertAlign val="baseline"/>
        <sz val="72"/>
        <color theme="1"/>
        <name val="Raleway"/>
        <family val="2"/>
        <scheme val="minor"/>
      </font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BF3821"/>
      </font>
      <fill>
        <patternFill>
          <bgColor rgb="FFFFC7CE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BF3821"/>
      </font>
      <fill>
        <patternFill>
          <bgColor rgb="FFFFC7CE"/>
        </patternFill>
      </fill>
    </dxf>
    <dxf>
      <fill>
        <patternFill>
          <bgColor rgb="FFFFFF66"/>
        </patternFill>
      </fill>
    </dxf>
    <dxf>
      <font>
        <color rgb="FFBF3821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aleway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aleway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aleway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aleway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aleway"/>
        <family val="2"/>
        <scheme val="minor"/>
      </font>
      <numFmt numFmtId="19" formatCode="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  <numFmt numFmtId="19" formatCode="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</dxf>
    <dxf>
      <font>
        <strike val="0"/>
        <outline val="0"/>
        <shadow val="0"/>
        <u val="none"/>
        <vertAlign val="baseline"/>
        <sz val="14"/>
        <name val="Raleway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3" tint="9.9978637043366805E-2"/>
        <name val="Raleway"/>
        <scheme val="minor"/>
      </font>
      <fill>
        <patternFill patternType="solid">
          <fgColor indexed="64"/>
          <bgColor theme="0" tint="-0.249977111117893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aleway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Raleway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aleway"/>
        <scheme val="minor"/>
      </font>
      <border diagonalUp="0" diagonalDown="0" outline="0"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aleway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Raleway"/>
        <scheme val="minor"/>
      </font>
      <border diagonalUp="0" diagonalDown="0" outline="0"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Raleway"/>
        <scheme val="minor"/>
      </font>
    </dxf>
    <dxf>
      <border>
        <top style="thin">
          <color theme="9" tint="0.59999389629810485"/>
        </top>
      </border>
    </dxf>
    <dxf>
      <font>
        <strike val="0"/>
        <outline val="0"/>
        <shadow val="0"/>
        <u val="none"/>
        <vertAlign val="baseline"/>
        <sz val="14"/>
        <color theme="1"/>
        <name val="Raleway"/>
        <scheme val="minor"/>
      </font>
      <border diagonalUp="0" diagonalDown="0" outline="0">
        <left style="thin">
          <color theme="9" tint="0.59999389629810485"/>
        </left>
        <right style="thin">
          <color theme="9" tint="0.59999389629810485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Raleway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Raleway"/>
        <scheme val="minor"/>
      </font>
      <protection locked="0" hidden="0"/>
    </dxf>
    <dxf>
      <font>
        <color rgb="FF9C0006"/>
      </font>
      <fill>
        <patternFill>
          <bgColor rgb="FFFFC7CE"/>
        </patternFill>
      </fill>
    </dxf>
    <dxf>
      <font>
        <b/>
        <i val="0"/>
        <sz val="65"/>
        <name val="Raleway"/>
        <scheme val="major"/>
      </font>
      <fill>
        <patternFill>
          <bgColor theme="0"/>
        </patternFill>
      </fill>
    </dxf>
    <dxf>
      <font>
        <b/>
        <i val="0"/>
        <strike val="0"/>
        <sz val="14"/>
        <name val="Raleway"/>
        <family val="2"/>
        <scheme val="major"/>
      </font>
    </dxf>
    <dxf>
      <font>
        <sz val="72"/>
        <name val="Raleway"/>
        <scheme val="minor"/>
      </font>
      <fill>
        <patternFill>
          <bgColor theme="0" tint="-0.24994659260841701"/>
        </patternFill>
      </fill>
      <border>
        <left/>
        <right/>
        <top/>
        <bottom/>
      </border>
    </dxf>
  </dxfs>
  <tableStyles count="2" defaultTableStyle="TableStyleMedium2" defaultPivotStyle="PivotStyleLight16">
    <tableStyle name="ENCABEZADO SEGMENTACION 1" pivot="0" table="0" count="3" xr9:uid="{C488B4E4-0961-46E6-B38B-2155617B1E65}">
      <tableStyleElement type="wholeTable" dxfId="65"/>
      <tableStyleElement type="headerRow" dxfId="64"/>
    </tableStyle>
    <tableStyle name="PRESUPUESTO_AÑO" pivot="0" table="0" count="2" xr9:uid="{6430F658-8376-48D7-A4E7-01282D1317B2}">
      <tableStyleElement type="wholeTable" dxfId="63"/>
    </tableStyle>
  </tableStyles>
  <colors>
    <mruColors>
      <color rgb="FFFF5D5D"/>
      <color rgb="FF33CC33"/>
      <color rgb="FF66FF66"/>
      <color rgb="FF99FF99"/>
      <color rgb="FFE16651"/>
      <color rgb="FFCCFFCC"/>
      <color rgb="FFD02300"/>
      <color rgb="FFFFCCCC"/>
      <color rgb="FFFF9999"/>
      <color rgb="FFFFFF66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5"/>
            </patternFill>
          </fill>
          <border diagonalDown="1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diagonal style="thin">
              <color auto="1"/>
            </diagonal>
          </border>
        </dxf>
        <dxf>
          <fill>
            <patternFill>
              <bgColor theme="0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NCABEZADO SEGMENTACION 1">
          <x14:slicerStyleElements>
            <x14:slicerStyleElement type="selectedItemWithData" dxfId="1"/>
          </x14:slicerStyleElements>
        </x14:slicerStyle>
        <x14:slicerStyle name="PRESUPUESTO_AÑO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ANALYSIS!$M$18</c:f>
              <c:strCache>
                <c:ptCount val="1"/>
                <c:pt idx="0">
                  <c:v>AMOUNT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9F8A-48EB-A6BD-57708D61C82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1B-45E9-80F8-7C1CBD48F49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01B-45E9-80F8-7C1CBD48F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5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ANALYSIS!$L$19:$L$21</c:f>
              <c:strCache>
                <c:ptCount val="3"/>
                <c:pt idx="0">
                  <c:v>ICLOUD</c:v>
                </c:pt>
                <c:pt idx="1">
                  <c:v>APPLE MUSIC</c:v>
                </c:pt>
                <c:pt idx="2">
                  <c:v>SERVICIOS</c:v>
                </c:pt>
              </c:strCache>
            </c:strRef>
          </c:cat>
          <c:val>
            <c:numRef>
              <c:f>ANALYSIS!$M$19:$M$21</c:f>
              <c:numCache>
                <c:formatCode>_-"$"\ * #,##0_-;\-"$"\ * #,##0_-;_-"$"\ * "-"??_-;_-@_-</c:formatCode>
                <c:ptCount val="3"/>
                <c:pt idx="0">
                  <c:v>12900</c:v>
                </c:pt>
                <c:pt idx="1">
                  <c:v>8500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A-48EB-A6BD-57708D61C8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4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ANALYSIS!$R$18</c:f>
              <c:strCache>
                <c:ptCount val="1"/>
                <c:pt idx="0">
                  <c:v>AMOUNT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6E-4971-9D0A-D0FFDCC7430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3F-4CC5-8062-2F3FBE9F84D4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43F-4CC5-8062-2F3FBE9F84D4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3F-4CC5-8062-2F3FBE9F84D4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3F-4CC5-8062-2F3FBE9F84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5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ANALYSIS!$Q$19:$Q$23</c:f>
              <c:strCache>
                <c:ptCount val="5"/>
                <c:pt idx="0">
                  <c:v>INESPERADO</c:v>
                </c:pt>
                <c:pt idx="1">
                  <c:v>TRANSPORTE</c:v>
                </c:pt>
                <c:pt idx="2">
                  <c:v>SALIDAS</c:v>
                </c:pt>
                <c:pt idx="3">
                  <c:v>ALIMENTACIÓN</c:v>
                </c:pt>
                <c:pt idx="4">
                  <c:v>SUPLEMENTOS</c:v>
                </c:pt>
              </c:strCache>
            </c:strRef>
          </c:cat>
          <c:val>
            <c:numRef>
              <c:f>ANALYSIS!$R$19:$R$23</c:f>
              <c:numCache>
                <c:formatCode>_-"$"\ * #,##0_-;\-"$"\ * #,##0_-;_-"$"\ * "-"??_-;_-@_-</c:formatCode>
                <c:ptCount val="5"/>
                <c:pt idx="0">
                  <c:v>18743</c:v>
                </c:pt>
                <c:pt idx="1">
                  <c:v>70800</c:v>
                </c:pt>
                <c:pt idx="2">
                  <c:v>236100</c:v>
                </c:pt>
                <c:pt idx="3">
                  <c:v>81600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3F-4CC5-8062-2F3FBE9F84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solidFill>
            <a:schemeClr val="accent2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4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ANALYSIS!$H$18</c:f>
              <c:strCache>
                <c:ptCount val="1"/>
                <c:pt idx="0">
                  <c:v>AMOUNT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7E-40BE-9FE6-813A6A9AA84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7E-40BE-9FE6-813A6A9AA84A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77E-40BE-9FE6-813A6A9AA84A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7E-40BE-9FE6-813A6A9AA84A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77E-40BE-9FE6-813A6A9AA84A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BFD-4A46-8956-27DB962487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ANALYSIS!$G$19:$G$24</c:f>
              <c:strCache>
                <c:ptCount val="6"/>
                <c:pt idx="0">
                  <c:v>EXTRAS</c:v>
                </c:pt>
                <c:pt idx="1">
                  <c:v>QUINCENA</c:v>
                </c:pt>
                <c:pt idx="2">
                  <c:v>PRESTAMO</c:v>
                </c:pt>
                <c:pt idx="3">
                  <c:v>QUORE</c:v>
                </c:pt>
                <c:pt idx="4">
                  <c:v>MONEDAS</c:v>
                </c:pt>
                <c:pt idx="5">
                  <c:v>FREELANCE</c:v>
                </c:pt>
              </c:strCache>
            </c:strRef>
          </c:cat>
          <c:val>
            <c:numRef>
              <c:f>ANALYSIS!$H$19:$H$24</c:f>
              <c:numCache>
                <c:formatCode>_-"$"\ * #,##0_-;\-"$"\ * #,##0_-;_-"$"\ * "-"??_-;_-@_-</c:formatCode>
                <c:ptCount val="6"/>
                <c:pt idx="0">
                  <c:v>126535</c:v>
                </c:pt>
                <c:pt idx="1">
                  <c:v>500000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E-40BE-9FE6-813A6A9AA8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46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Finance Excel.xlsm]TABLAS GRAFICAS!TABLA_GRAF_ TIEMPO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4800"/>
              <a:t>EXPENSES</a:t>
            </a:r>
            <a:r>
              <a:rPr lang="es-CO" sz="4800" baseline="0"/>
              <a:t> AND INCOME OVER TIME</a:t>
            </a:r>
            <a:endParaRPr lang="es-CO" sz="4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 w="50800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 w="50800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9600" tIns="19050" rIns="38100" bIns="19050" anchor="ctr" anchorCtr="1">
              <a:spAutoFit/>
            </a:bodyPr>
            <a:lstStyle/>
            <a:p>
              <a:pPr>
                <a:defRPr sz="4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0.1125719363226078"/>
              <c:y val="-1.224092842137223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96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96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6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035505235979923"/>
          <c:y val="0.15904353867531262"/>
          <c:w val="0.69145439031397082"/>
          <c:h val="0.64280743399722107"/>
        </c:manualLayout>
      </c:layout>
      <c:lineChart>
        <c:grouping val="standard"/>
        <c:varyColors val="0"/>
        <c:ser>
          <c:idx val="0"/>
          <c:order val="0"/>
          <c:tx>
            <c:strRef>
              <c:f>'TABLAS GRAFICAS'!$B$40:$B$41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1">
                <a:spAutoFit/>
              </a:bodyPr>
              <a:lstStyle/>
              <a:p>
                <a:pPr>
                  <a:defRPr sz="4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GRAFICAS'!$A$42:$A$51</c:f>
              <c:multiLvlStrCache>
                <c:ptCount val="7"/>
                <c:lvl>
                  <c:pt idx="0">
                    <c:v>jul</c:v>
                  </c:pt>
                  <c:pt idx="1">
                    <c:v>ago</c:v>
                  </c:pt>
                  <c:pt idx="2">
                    <c:v>sep</c:v>
                  </c:pt>
                  <c:pt idx="3">
                    <c:v>oct</c:v>
                  </c:pt>
                  <c:pt idx="4">
                    <c:v>nov</c:v>
                  </c:pt>
                  <c:pt idx="5">
                    <c:v>dic</c:v>
                  </c:pt>
                  <c:pt idx="6">
                    <c:v>feb</c:v>
                  </c:pt>
                </c:lvl>
                <c:lvl>
                  <c:pt idx="0">
                    <c:v>2025</c:v>
                  </c:pt>
                  <c:pt idx="6">
                    <c:v>2026</c:v>
                  </c:pt>
                </c:lvl>
              </c:multiLvlStrCache>
            </c:multiLvlStrRef>
          </c:cat>
          <c:val>
            <c:numRef>
              <c:f>'TABLAS GRAFICAS'!$B$42:$B$51</c:f>
              <c:numCache>
                <c:formatCode>_("$"* #,##0.00_);_("$"* \(#,##0.00\);_("$"* "-"??_);_(@_)</c:formatCode>
                <c:ptCount val="7"/>
                <c:pt idx="0">
                  <c:v>532000</c:v>
                </c:pt>
                <c:pt idx="1">
                  <c:v>395821</c:v>
                </c:pt>
                <c:pt idx="2">
                  <c:v>731553</c:v>
                </c:pt>
                <c:pt idx="3">
                  <c:v>832366</c:v>
                </c:pt>
                <c:pt idx="4">
                  <c:v>666000</c:v>
                </c:pt>
                <c:pt idx="5">
                  <c:v>250000</c:v>
                </c:pt>
                <c:pt idx="6">
                  <c:v>626535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DE-43B7-B35F-BC64F08B967B}"/>
            </c:ext>
          </c:extLst>
        </c:ser>
        <c:ser>
          <c:idx val="1"/>
          <c:order val="1"/>
          <c:tx>
            <c:strRef>
              <c:f>'TABLAS GRAFICAS'!$C$40:$C$41</c:f>
              <c:strCache>
                <c:ptCount val="1"/>
                <c:pt idx="0">
                  <c:v>EXPENSE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GRAFICAS'!$A$42:$A$51</c:f>
              <c:multiLvlStrCache>
                <c:ptCount val="7"/>
                <c:lvl>
                  <c:pt idx="0">
                    <c:v>jul</c:v>
                  </c:pt>
                  <c:pt idx="1">
                    <c:v>ago</c:v>
                  </c:pt>
                  <c:pt idx="2">
                    <c:v>sep</c:v>
                  </c:pt>
                  <c:pt idx="3">
                    <c:v>oct</c:v>
                  </c:pt>
                  <c:pt idx="4">
                    <c:v>nov</c:v>
                  </c:pt>
                  <c:pt idx="5">
                    <c:v>dic</c:v>
                  </c:pt>
                  <c:pt idx="6">
                    <c:v>feb</c:v>
                  </c:pt>
                </c:lvl>
                <c:lvl>
                  <c:pt idx="0">
                    <c:v>2025</c:v>
                  </c:pt>
                  <c:pt idx="6">
                    <c:v>2026</c:v>
                  </c:pt>
                </c:lvl>
              </c:multiLvlStrCache>
            </c:multiLvlStrRef>
          </c:cat>
          <c:val>
            <c:numRef>
              <c:f>'TABLAS GRAFICAS'!$C$42:$C$51</c:f>
              <c:numCache>
                <c:formatCode>_("$"* #,##0.00_);_("$"* \(#,##0.00\);_("$"* "-"??_);_(@_)</c:formatCode>
                <c:ptCount val="7"/>
                <c:pt idx="0">
                  <c:v>489635</c:v>
                </c:pt>
                <c:pt idx="1">
                  <c:v>322566</c:v>
                </c:pt>
                <c:pt idx="2">
                  <c:v>299756</c:v>
                </c:pt>
                <c:pt idx="3">
                  <c:v>735608</c:v>
                </c:pt>
                <c:pt idx="4">
                  <c:v>488955</c:v>
                </c:pt>
                <c:pt idx="5">
                  <c:v>295033</c:v>
                </c:pt>
                <c:pt idx="6">
                  <c:v>428643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2D-4E2D-9D00-79B1B70000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94033888"/>
        <c:axId val="494030528"/>
      </c:lineChart>
      <c:catAx>
        <c:axId val="49403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94030528"/>
        <c:crosses val="autoZero"/>
        <c:auto val="1"/>
        <c:lblAlgn val="ctr"/>
        <c:lblOffset val="100"/>
        <c:noMultiLvlLbl val="0"/>
      </c:catAx>
      <c:valAx>
        <c:axId val="494030528"/>
        <c:scaling>
          <c:orientation val="minMax"/>
        </c:scaling>
        <c:delete val="1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49403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1768579844021"/>
          <c:y val="0.48006786968492021"/>
          <c:w val="9.4054290053335834E-2"/>
          <c:h val="6.8572958369155709E-2"/>
        </c:manualLayout>
      </c:layout>
      <c:overlay val="0"/>
      <c:spPr>
        <a:noFill/>
        <a:ln w="412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5" Type="http://schemas.openxmlformats.org/officeDocument/2006/relationships/hyperlink" Target="#BUDGET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695190</xdr:colOff>
      <xdr:row>7</xdr:row>
      <xdr:rowOff>0</xdr:rowOff>
    </xdr:from>
    <xdr:to>
      <xdr:col>6</xdr:col>
      <xdr:colOff>695190</xdr:colOff>
      <xdr:row>7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Entrada de lápiz 5">
              <a:extLst>
                <a:ext uri="{FF2B5EF4-FFF2-40B4-BE49-F238E27FC236}">
                  <a16:creationId xmlns:a16="http://schemas.microsoft.com/office/drawing/2014/main" id="{F63D87F0-69CE-A40F-BE37-F543708825C6}"/>
                </a:ext>
              </a:extLst>
            </xdr14:cNvPr>
            <xdr14:cNvContentPartPr/>
          </xdr14:nvContentPartPr>
          <xdr14:nvPr macro=""/>
          <xdr14:xfrm>
            <a:off x="6886440" y="1590480"/>
            <a:ext cx="360" cy="360"/>
          </xdr14:xfrm>
        </xdr:contentPart>
      </mc:Choice>
      <mc:Fallback xmlns="">
        <xdr:pic>
          <xdr:nvPicPr>
            <xdr:cNvPr id="6" name="Entrada de lápiz 5">
              <a:extLst>
                <a:ext uri="{FF2B5EF4-FFF2-40B4-BE49-F238E27FC236}">
                  <a16:creationId xmlns:a16="http://schemas.microsoft.com/office/drawing/2014/main" id="{F63D87F0-69CE-A40F-BE37-F543708825C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880320" y="15843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719542</xdr:colOff>
      <xdr:row>2</xdr:row>
      <xdr:rowOff>220111</xdr:rowOff>
    </xdr:from>
    <xdr:to>
      <xdr:col>9</xdr:col>
      <xdr:colOff>4394</xdr:colOff>
      <xdr:row>5</xdr:row>
      <xdr:rowOff>2667</xdr:rowOff>
    </xdr:to>
    <xdr:sp macro="[0]!Registro_gasto_ingreso" textlink="">
      <xdr:nvSpPr>
        <xdr:cNvPr id="4" name="Rectángulo 3">
          <a:extLst>
            <a:ext uri="{FF2B5EF4-FFF2-40B4-BE49-F238E27FC236}">
              <a16:creationId xmlns:a16="http://schemas.microsoft.com/office/drawing/2014/main" id="{FD0F2A55-41C1-0CD6-7FE1-59146E854563}"/>
            </a:ext>
          </a:extLst>
        </xdr:cNvPr>
        <xdr:cNvSpPr/>
      </xdr:nvSpPr>
      <xdr:spPr>
        <a:xfrm>
          <a:off x="8402206" y="696361"/>
          <a:ext cx="3295379" cy="4969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ENTER</a:t>
          </a:r>
          <a:r>
            <a:rPr lang="es-CO" sz="1600" baseline="0"/>
            <a:t> EXPENSES OR INCOME</a:t>
          </a:r>
        </a:p>
      </xdr:txBody>
    </xdr:sp>
    <xdr:clientData/>
  </xdr:twoCellAnchor>
  <xdr:twoCellAnchor>
    <xdr:from>
      <xdr:col>11</xdr:col>
      <xdr:colOff>1972</xdr:colOff>
      <xdr:row>0</xdr:row>
      <xdr:rowOff>79752</xdr:rowOff>
    </xdr:from>
    <xdr:to>
      <xdr:col>13</xdr:col>
      <xdr:colOff>2830</xdr:colOff>
      <xdr:row>1</xdr:row>
      <xdr:rowOff>79227</xdr:rowOff>
    </xdr:to>
    <xdr:sp macro="[0]!REGISTRO_INGRESO" textlink="">
      <xdr:nvSpPr>
        <xdr:cNvPr id="5" name="Rectángulo 4">
          <a:extLst>
            <a:ext uri="{FF2B5EF4-FFF2-40B4-BE49-F238E27FC236}">
              <a16:creationId xmlns:a16="http://schemas.microsoft.com/office/drawing/2014/main" id="{BF89AAA1-B40B-492C-B26F-6ABC300807D8}"/>
            </a:ext>
          </a:extLst>
        </xdr:cNvPr>
        <xdr:cNvSpPr/>
      </xdr:nvSpPr>
      <xdr:spPr>
        <a:xfrm>
          <a:off x="15216906" y="79752"/>
          <a:ext cx="2444773" cy="237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REGISTER</a:t>
          </a:r>
          <a:r>
            <a:rPr lang="es-CO" sz="1100" baseline="0"/>
            <a:t> NEW TYPE OF INCOME </a:t>
          </a:r>
        </a:p>
        <a:p>
          <a:pPr algn="l"/>
          <a:endParaRPr lang="es-CO" sz="1100"/>
        </a:p>
      </xdr:txBody>
    </xdr:sp>
    <xdr:clientData/>
  </xdr:twoCellAnchor>
  <xdr:twoCellAnchor>
    <xdr:from>
      <xdr:col>10</xdr:col>
      <xdr:colOff>1393902</xdr:colOff>
      <xdr:row>1</xdr:row>
      <xdr:rowOff>161451</xdr:rowOff>
    </xdr:from>
    <xdr:to>
      <xdr:col>13</xdr:col>
      <xdr:colOff>1</xdr:colOff>
      <xdr:row>3</xdr:row>
      <xdr:rowOff>137861</xdr:rowOff>
    </xdr:to>
    <xdr:sp macro="[0]!REGISTRO_GASTOSFIJOS" textlink="">
      <xdr:nvSpPr>
        <xdr:cNvPr id="8" name="Rectángulo 7">
          <a:extLst>
            <a:ext uri="{FF2B5EF4-FFF2-40B4-BE49-F238E27FC236}">
              <a16:creationId xmlns:a16="http://schemas.microsoft.com/office/drawing/2014/main" id="{55F8EC07-3D8A-75B1-AE91-C7835D1AFB5F}"/>
            </a:ext>
          </a:extLst>
        </xdr:cNvPr>
        <xdr:cNvSpPr/>
      </xdr:nvSpPr>
      <xdr:spPr>
        <a:xfrm>
          <a:off x="15205152" y="399576"/>
          <a:ext cx="2453698" cy="4526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aseline="0"/>
            <a:t>REGISTER NEW TYPE OF FIXED EXPENSE</a:t>
          </a:r>
        </a:p>
        <a:p>
          <a:pPr algn="l"/>
          <a:endParaRPr lang="es-CO" sz="1100"/>
        </a:p>
      </xdr:txBody>
    </xdr:sp>
    <xdr:clientData/>
  </xdr:twoCellAnchor>
  <xdr:twoCellAnchor>
    <xdr:from>
      <xdr:col>11</xdr:col>
      <xdr:colOff>1529</xdr:colOff>
      <xdr:row>4</xdr:row>
      <xdr:rowOff>5070</xdr:rowOff>
    </xdr:from>
    <xdr:to>
      <xdr:col>13</xdr:col>
      <xdr:colOff>2387</xdr:colOff>
      <xdr:row>5</xdr:row>
      <xdr:rowOff>199907</xdr:rowOff>
    </xdr:to>
    <xdr:sp macro="[0]!Registro_GastoVariable" textlink="">
      <xdr:nvSpPr>
        <xdr:cNvPr id="9" name="Rectángulo 8">
          <a:extLst>
            <a:ext uri="{FF2B5EF4-FFF2-40B4-BE49-F238E27FC236}">
              <a16:creationId xmlns:a16="http://schemas.microsoft.com/office/drawing/2014/main" id="{D7F9B2E9-F89F-B3D8-C03A-11691654AB9C}"/>
            </a:ext>
          </a:extLst>
        </xdr:cNvPr>
        <xdr:cNvSpPr/>
      </xdr:nvSpPr>
      <xdr:spPr>
        <a:xfrm>
          <a:off x="15182733" y="945811"/>
          <a:ext cx="2435024" cy="43002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aseline="0"/>
            <a:t>REGISTER NEW TYPE OF VARIABLE EXPENSE</a:t>
          </a:r>
          <a:endParaRPr lang="es-CO" sz="1100"/>
        </a:p>
      </xdr:txBody>
    </xdr:sp>
    <xdr:clientData/>
  </xdr:twoCellAnchor>
  <xdr:twoCellAnchor>
    <xdr:from>
      <xdr:col>1</xdr:col>
      <xdr:colOff>917652</xdr:colOff>
      <xdr:row>2</xdr:row>
      <xdr:rowOff>162623</xdr:rowOff>
    </xdr:from>
    <xdr:to>
      <xdr:col>4</xdr:col>
      <xdr:colOff>23232</xdr:colOff>
      <xdr:row>4</xdr:row>
      <xdr:rowOff>128716</xdr:rowOff>
    </xdr:to>
    <xdr:sp macro="" textlink="">
      <xdr:nvSpPr>
        <xdr:cNvPr id="2" name="Rectángulo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12F827-AAA0-4289-43A9-5CF7E537E75B}"/>
            </a:ext>
          </a:extLst>
        </xdr:cNvPr>
        <xdr:cNvSpPr/>
      </xdr:nvSpPr>
      <xdr:spPr>
        <a:xfrm>
          <a:off x="1908767" y="728974"/>
          <a:ext cx="3005681" cy="53244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600">
              <a:solidFill>
                <a:schemeClr val="lt1"/>
              </a:solidFill>
              <a:latin typeface="+mn-lt"/>
              <a:ea typeface="+mn-ea"/>
              <a:cs typeface="+mn-cs"/>
            </a:rPr>
            <a:t>GO</a:t>
          </a:r>
          <a:r>
            <a:rPr lang="es-CO" sz="1600" baseline="0">
              <a:solidFill>
                <a:schemeClr val="lt1"/>
              </a:solidFill>
              <a:latin typeface="+mn-lt"/>
              <a:ea typeface="+mn-ea"/>
              <a:cs typeface="+mn-cs"/>
            </a:rPr>
            <a:t> TO BUDGETS</a:t>
          </a:r>
          <a:endParaRPr lang="es-CO" sz="16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s-CO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195719</xdr:colOff>
      <xdr:row>3</xdr:row>
      <xdr:rowOff>26096</xdr:rowOff>
    </xdr:from>
    <xdr:to>
      <xdr:col>9</xdr:col>
      <xdr:colOff>587157</xdr:colOff>
      <xdr:row>5</xdr:row>
      <xdr:rowOff>0</xdr:rowOff>
    </xdr:to>
    <xdr:sp macro="[0]!BAJAR" textlink="">
      <xdr:nvSpPr>
        <xdr:cNvPr id="3" name="Flecha: hacia abajo 2">
          <a:extLst>
            <a:ext uri="{FF2B5EF4-FFF2-40B4-BE49-F238E27FC236}">
              <a16:creationId xmlns:a16="http://schemas.microsoft.com/office/drawing/2014/main" id="{BCB27E62-16D7-2665-6C66-FAA581C29FF4}"/>
            </a:ext>
          </a:extLst>
        </xdr:cNvPr>
        <xdr:cNvSpPr/>
      </xdr:nvSpPr>
      <xdr:spPr>
        <a:xfrm>
          <a:off x="11886678" y="730685"/>
          <a:ext cx="391438" cy="44363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272144</xdr:colOff>
      <xdr:row>0</xdr:row>
      <xdr:rowOff>816429</xdr:rowOff>
    </xdr:from>
    <xdr:to>
      <xdr:col>14</xdr:col>
      <xdr:colOff>181429</xdr:colOff>
      <xdr:row>13</xdr:row>
      <xdr:rowOff>340178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D3E288-AAB5-EECB-FE95-5DD1B34944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408214</xdr:colOff>
      <xdr:row>0</xdr:row>
      <xdr:rowOff>879015</xdr:rowOff>
    </xdr:from>
    <xdr:to>
      <xdr:col>19</xdr:col>
      <xdr:colOff>181429</xdr:colOff>
      <xdr:row>13</xdr:row>
      <xdr:rowOff>326610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E2458A-5361-F2C2-1329-672808D42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1688523</xdr:colOff>
      <xdr:row>0</xdr:row>
      <xdr:rowOff>727707</xdr:rowOff>
    </xdr:from>
    <xdr:to>
      <xdr:col>9</xdr:col>
      <xdr:colOff>136070</xdr:colOff>
      <xdr:row>13</xdr:row>
      <xdr:rowOff>314052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991C1E1-1856-7FC3-D3A7-3118FA3FD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19</xdr:col>
      <xdr:colOff>36286</xdr:colOff>
      <xdr:row>0</xdr:row>
      <xdr:rowOff>907902</xdr:rowOff>
    </xdr:from>
    <xdr:to>
      <xdr:col>51</xdr:col>
      <xdr:colOff>532742</xdr:colOff>
      <xdr:row>20</xdr:row>
      <xdr:rowOff>275635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F7FAA0-6204-4B35-B33B-71496D67E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81642</xdr:colOff>
      <xdr:row>1</xdr:row>
      <xdr:rowOff>206374</xdr:rowOff>
    </xdr:from>
    <xdr:to>
      <xdr:col>3</xdr:col>
      <xdr:colOff>10537030</xdr:colOff>
      <xdr:row>1</xdr:row>
      <xdr:rowOff>1666876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s (DATE)">
              <a:extLst>
                <a:ext uri="{FF2B5EF4-FFF2-40B4-BE49-F238E27FC236}">
                  <a16:creationId xmlns:a16="http://schemas.microsoft.com/office/drawing/2014/main" id="{0B37B946-6ABB-459F-8CEA-B93F615C57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71931" y="1635124"/>
              <a:ext cx="11447795" cy="14605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952500</xdr:colOff>
      <xdr:row>4</xdr:row>
      <xdr:rowOff>238125</xdr:rowOff>
    </xdr:from>
    <xdr:to>
      <xdr:col>24</xdr:col>
      <xdr:colOff>592299</xdr:colOff>
      <xdr:row>18</xdr:row>
      <xdr:rowOff>682560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ses (DATE)">
              <a:extLst>
                <a:ext uri="{FF2B5EF4-FFF2-40B4-BE49-F238E27FC236}">
                  <a16:creationId xmlns:a16="http://schemas.microsoft.com/office/drawing/2014/main" id="{24E59507-F8D8-33E3-922C-5837317A0E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73281" y="4524375"/>
              <a:ext cx="3687924" cy="16458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7T20:05:05.962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oscar ivan alzate martinez" id="{4156F9A2-B793-4461-A763-753D99DCB495}" userId="oscar ivan alzate martinez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car ivan alzate martinez" refreshedDate="46086.772846643522" createdVersion="8" refreshedVersion="8" minRefreshableVersion="3" recordCount="191" xr:uid="{3BD48020-E7EA-4718-B706-355D42DACF4E}">
  <cacheSource type="worksheet">
    <worksheetSource name="REGISTRO"/>
  </cacheSource>
  <cacheFields count="8">
    <cacheField name="DATE" numFmtId="14">
      <sharedItems containsSemiMixedTypes="0" containsNonDate="0" containsDate="1" containsString="0" minDate="2025-02-15T00:00:00" maxDate="2032-10-02T00:00:00" count="73">
        <d v="2025-07-14T00:00:00"/>
        <d v="2025-07-16T00:00:00"/>
        <d v="2025-07-17T00:00:00"/>
        <d v="2025-07-18T00:00:00"/>
        <d v="2025-07-21T00:00:00"/>
        <d v="2025-07-22T00:00:00"/>
        <d v="2025-07-23T00:00:00"/>
        <d v="2025-07-25T00:00:00"/>
        <d v="2025-07-27T00:00:00"/>
        <d v="2025-07-28T00:00:00"/>
        <d v="2025-07-29T00:00:00"/>
        <d v="2025-08-01T00:00:00"/>
        <d v="2025-08-03T00:00:00"/>
        <d v="2025-08-04T00:00:00"/>
        <d v="2025-08-05T00:00:00"/>
        <d v="2025-08-06T00:00:00"/>
        <d v="2025-08-07T00:00:00"/>
        <d v="2025-08-09T00:00:00"/>
        <d v="2025-08-11T00:00:00"/>
        <d v="2025-08-18T00:00:00"/>
        <d v="2025-08-20T00:00:00"/>
        <d v="2025-08-21T00:00:00"/>
        <d v="2025-08-24T00:00:00"/>
        <d v="2025-08-25T00:00:00"/>
        <d v="2025-08-27T00:00:00"/>
        <d v="2025-09-01T00:00:00"/>
        <d v="2025-09-02T00:00:00"/>
        <d v="2025-09-03T00:00:00"/>
        <d v="2025-09-04T00:00:00"/>
        <d v="2025-09-06T00:00:00"/>
        <d v="2025-09-10T00:00:00"/>
        <d v="2025-09-12T00:00:00"/>
        <d v="2025-09-13T00:00:00"/>
        <d v="2025-09-14T00:00:00"/>
        <d v="2025-09-16T00:00:00"/>
        <d v="2025-09-17T00:00:00"/>
        <d v="2025-09-19T00:00:00"/>
        <d v="2025-09-22T00:00:00"/>
        <d v="2025-09-24T00:00:00"/>
        <d v="2025-09-25T00:00:00"/>
        <d v="2025-09-26T00:00:00"/>
        <d v="2025-10-04T00:00:00"/>
        <d v="2025-10-05T00:00:00"/>
        <d v="2025-10-14T00:00:00"/>
        <d v="2025-10-15T00:00:00"/>
        <d v="2025-10-16T00:00:00"/>
        <d v="2025-10-19T00:00:00"/>
        <d v="2025-10-17T00:00:00"/>
        <d v="2025-10-23T00:00:00"/>
        <d v="2025-10-31T00:00:00"/>
        <d v="2025-11-04T00:00:00"/>
        <d v="2025-11-10T00:00:00"/>
        <d v="2025-11-12T00:00:00"/>
        <d v="2025-11-16T00:00:00"/>
        <d v="2025-11-18T00:00:00"/>
        <d v="2025-11-19T00:00:00"/>
        <d v="2025-11-23T00:00:00"/>
        <d v="2025-11-30T00:00:00"/>
        <d v="2025-12-01T00:00:00"/>
        <d v="2026-01-01T00:00:00"/>
        <d v="2026-02-01T00:00:00"/>
        <d v="2026-02-11T00:00:00"/>
        <d v="2026-02-14T00:00:00"/>
        <d v="2026-02-15T00:00:00"/>
        <d v="2026-02-16T00:00:00"/>
        <d v="2026-02-20T00:00:00"/>
        <d v="2026-03-01T00:00:00"/>
        <d v="2026-03-03T00:00:00"/>
        <d v="2025-10-25T00:00:00"/>
        <d v="2025-02-15T00:00:00" u="1"/>
        <d v="2025-04-11T00:00:00" u="1"/>
        <d v="2032-10-01T00:00:00" u="1"/>
        <d v="2025-04-10T00:00:00" u="1"/>
      </sharedItems>
      <fieldGroup par="7"/>
    </cacheField>
    <cacheField name="DESCRIPTION" numFmtId="0">
      <sharedItems containsBlank="1" count="15">
        <s v="QUORE"/>
        <s v="TRANSPORTE"/>
        <s v="QUINCENA"/>
        <s v="ALIMENTACIÓN"/>
        <s v="SERVICIOS"/>
        <s v="EXTRAS"/>
        <s v="SALIDAS"/>
        <s v="SUPLEMENTOS"/>
        <s v="MONEDAS"/>
        <s v="PRESTAMO"/>
        <s v="FREELANCE"/>
        <s v="INESPERADO"/>
        <s v="APPLE MUSIC"/>
        <s v="ICLOUD"/>
        <m u="1"/>
      </sharedItems>
    </cacheField>
    <cacheField name="TYPE" numFmtId="0">
      <sharedItems containsBlank="1" count="5">
        <s v="EXPENSE"/>
        <s v="INCOME"/>
        <m u="1"/>
        <s v="GASTO" u="1"/>
        <s v="INGRESO" u="1"/>
      </sharedItems>
    </cacheField>
    <cacheField name="TOTAL" numFmtId="0">
      <sharedItems containsString="0" containsBlank="1" containsNumber="1" containsInteger="1" minValue="0" maxValue="250000"/>
    </cacheField>
    <cacheField name="MONEY BALANCE" numFmtId="0">
      <sharedItems containsSemiMixedTypes="0" containsString="0" containsNumber="1" containsInteger="1" minValue="168620" maxValue="1316740"/>
    </cacheField>
    <cacheField name="Días (DATE)" numFmtId="0" databaseField="0">
      <fieldGroup base="0">
        <rangePr groupBy="days" startDate="2025-07-14T00:00:00" endDate="2026-03-04T00:00:00"/>
        <groupItems count="368">
          <s v="&lt;14/07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4/03/2026"/>
        </groupItems>
      </fieldGroup>
    </cacheField>
    <cacheField name="Meses (DATE)" numFmtId="0" databaseField="0">
      <fieldGroup base="0">
        <rangePr groupBy="months" startDate="2025-07-14T00:00:00" endDate="2026-03-04T00:00:00"/>
        <groupItems count="14">
          <s v="&lt;14/07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4/03/2026"/>
        </groupItems>
      </fieldGroup>
    </cacheField>
    <cacheField name="Años (DATE)" numFmtId="0" databaseField="0">
      <fieldGroup base="0">
        <rangePr groupBy="years" startDate="2025-07-14T00:00:00" endDate="2026-03-04T00:00:00"/>
        <groupItems count="4">
          <s v="&lt;14/07/2025"/>
          <s v="2025"/>
          <s v="2026"/>
          <s v="&gt;4/03/2026"/>
        </groupItems>
      </fieldGroup>
    </cacheField>
  </cacheFields>
  <extLst>
    <ext xmlns:x14="http://schemas.microsoft.com/office/spreadsheetml/2009/9/main" uri="{725AE2AE-9491-48be-B2B4-4EB974FC3084}">
      <x14:pivotCacheDefinition pivotCacheId="13349985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x v="0"/>
    <x v="0"/>
    <n v="61400"/>
    <n v="184120"/>
  </r>
  <r>
    <x v="0"/>
    <x v="1"/>
    <x v="0"/>
    <n v="5000"/>
    <n v="179120"/>
  </r>
  <r>
    <x v="0"/>
    <x v="1"/>
    <x v="0"/>
    <n v="3500"/>
    <n v="175620"/>
  </r>
  <r>
    <x v="0"/>
    <x v="1"/>
    <x v="0"/>
    <n v="7000"/>
    <n v="168620"/>
  </r>
  <r>
    <x v="0"/>
    <x v="2"/>
    <x v="1"/>
    <n v="250000"/>
    <n v="418620"/>
  </r>
  <r>
    <x v="1"/>
    <x v="1"/>
    <x v="0"/>
    <n v="20000"/>
    <n v="398620"/>
  </r>
  <r>
    <x v="1"/>
    <x v="3"/>
    <x v="0"/>
    <n v="22500"/>
    <n v="376120"/>
  </r>
  <r>
    <x v="2"/>
    <x v="0"/>
    <x v="1"/>
    <n v="40000"/>
    <n v="416120"/>
  </r>
  <r>
    <x v="2"/>
    <x v="1"/>
    <x v="0"/>
    <n v="8500"/>
    <n v="407620"/>
  </r>
  <r>
    <x v="3"/>
    <x v="3"/>
    <x v="0"/>
    <n v="22650"/>
    <n v="384970"/>
  </r>
  <r>
    <x v="3"/>
    <x v="4"/>
    <x v="0"/>
    <n v="3910"/>
    <n v="381060"/>
  </r>
  <r>
    <x v="3"/>
    <x v="0"/>
    <x v="1"/>
    <n v="105000"/>
    <n v="486060"/>
  </r>
  <r>
    <x v="4"/>
    <x v="3"/>
    <x v="1"/>
    <n v="7000"/>
    <n v="493060"/>
  </r>
  <r>
    <x v="4"/>
    <x v="1"/>
    <x v="0"/>
    <n v="7000"/>
    <n v="486060"/>
  </r>
  <r>
    <x v="4"/>
    <x v="0"/>
    <x v="1"/>
    <n v="80000"/>
    <n v="566060"/>
  </r>
  <r>
    <x v="5"/>
    <x v="5"/>
    <x v="1"/>
    <n v="10000"/>
    <n v="576060"/>
  </r>
  <r>
    <x v="5"/>
    <x v="3"/>
    <x v="0"/>
    <n v="24600"/>
    <n v="551460"/>
  </r>
  <r>
    <x v="6"/>
    <x v="0"/>
    <x v="1"/>
    <n v="20000"/>
    <n v="571460"/>
  </r>
  <r>
    <x v="6"/>
    <x v="6"/>
    <x v="0"/>
    <n v="10000"/>
    <n v="561460"/>
  </r>
  <r>
    <x v="6"/>
    <x v="6"/>
    <x v="0"/>
    <n v="8000"/>
    <n v="553460"/>
  </r>
  <r>
    <x v="7"/>
    <x v="7"/>
    <x v="0"/>
    <n v="155000"/>
    <n v="398460"/>
  </r>
  <r>
    <x v="7"/>
    <x v="6"/>
    <x v="0"/>
    <n v="46000"/>
    <n v="352460"/>
  </r>
  <r>
    <x v="8"/>
    <x v="1"/>
    <x v="0"/>
    <n v="37000"/>
    <n v="315460"/>
  </r>
  <r>
    <x v="9"/>
    <x v="5"/>
    <x v="1"/>
    <n v="20000"/>
    <n v="335460"/>
  </r>
  <r>
    <x v="9"/>
    <x v="1"/>
    <x v="0"/>
    <n v="10000"/>
    <n v="325460"/>
  </r>
  <r>
    <x v="9"/>
    <x v="3"/>
    <x v="0"/>
    <n v="19900"/>
    <n v="305560"/>
  </r>
  <r>
    <x v="9"/>
    <x v="8"/>
    <x v="0"/>
    <n v="275"/>
    <n v="305285"/>
  </r>
  <r>
    <x v="10"/>
    <x v="1"/>
    <x v="0"/>
    <n v="17400"/>
    <n v="287885"/>
  </r>
  <r>
    <x v="11"/>
    <x v="3"/>
    <x v="0"/>
    <n v="30000"/>
    <n v="257885"/>
  </r>
  <r>
    <x v="11"/>
    <x v="9"/>
    <x v="1"/>
    <n v="60000"/>
    <n v="317885"/>
  </r>
  <r>
    <x v="11"/>
    <x v="3"/>
    <x v="0"/>
    <n v="6000"/>
    <n v="311885"/>
  </r>
  <r>
    <x v="12"/>
    <x v="5"/>
    <x v="1"/>
    <n v="25000"/>
    <n v="336885"/>
  </r>
  <r>
    <x v="13"/>
    <x v="1"/>
    <x v="0"/>
    <n v="6000"/>
    <n v="330885"/>
  </r>
  <r>
    <x v="14"/>
    <x v="3"/>
    <x v="0"/>
    <n v="27900"/>
    <n v="302985"/>
  </r>
  <r>
    <x v="14"/>
    <x v="5"/>
    <x v="1"/>
    <n v="3000"/>
    <n v="305985"/>
  </r>
  <r>
    <x v="15"/>
    <x v="6"/>
    <x v="0"/>
    <n v="43000"/>
    <n v="262985"/>
  </r>
  <r>
    <x v="16"/>
    <x v="6"/>
    <x v="0"/>
    <n v="55000"/>
    <n v="207985"/>
  </r>
  <r>
    <x v="17"/>
    <x v="3"/>
    <x v="0"/>
    <n v="23500"/>
    <n v="184485"/>
  </r>
  <r>
    <x v="17"/>
    <x v="1"/>
    <x v="0"/>
    <n v="8000"/>
    <n v="176485"/>
  </r>
  <r>
    <x v="17"/>
    <x v="5"/>
    <x v="1"/>
    <n v="50000"/>
    <n v="226485"/>
  </r>
  <r>
    <x v="17"/>
    <x v="5"/>
    <x v="1"/>
    <n v="2000"/>
    <n v="228485"/>
  </r>
  <r>
    <x v="18"/>
    <x v="0"/>
    <x v="1"/>
    <n v="15000"/>
    <n v="243485"/>
  </r>
  <r>
    <x v="19"/>
    <x v="5"/>
    <x v="1"/>
    <n v="10020"/>
    <n v="253505"/>
  </r>
  <r>
    <x v="19"/>
    <x v="5"/>
    <x v="1"/>
    <n v="5701"/>
    <n v="259206"/>
  </r>
  <r>
    <x v="19"/>
    <x v="4"/>
    <x v="0"/>
    <n v="3900"/>
    <n v="255306"/>
  </r>
  <r>
    <x v="19"/>
    <x v="4"/>
    <x v="0"/>
    <n v="8500"/>
    <n v="246806"/>
  </r>
  <r>
    <x v="19"/>
    <x v="4"/>
    <x v="0"/>
    <n v="8990"/>
    <n v="237816"/>
  </r>
  <r>
    <x v="19"/>
    <x v="8"/>
    <x v="0"/>
    <n v="246"/>
    <n v="237570"/>
  </r>
  <r>
    <x v="20"/>
    <x v="5"/>
    <x v="1"/>
    <n v="20000"/>
    <n v="257570"/>
  </r>
  <r>
    <x v="20"/>
    <x v="3"/>
    <x v="0"/>
    <n v="7500"/>
    <n v="250070"/>
  </r>
  <r>
    <x v="20"/>
    <x v="6"/>
    <x v="0"/>
    <n v="12500"/>
    <n v="237570"/>
  </r>
  <r>
    <x v="21"/>
    <x v="5"/>
    <x v="1"/>
    <n v="50000"/>
    <n v="287570"/>
  </r>
  <r>
    <x v="21"/>
    <x v="3"/>
    <x v="0"/>
    <n v="49530"/>
    <n v="238040"/>
  </r>
  <r>
    <x v="22"/>
    <x v="5"/>
    <x v="1"/>
    <n v="22000"/>
    <n v="260040"/>
  </r>
  <r>
    <x v="22"/>
    <x v="2"/>
    <x v="1"/>
    <n v="125000"/>
    <n v="385040"/>
  </r>
  <r>
    <x v="22"/>
    <x v="1"/>
    <x v="0"/>
    <n v="32000"/>
    <n v="353040"/>
  </r>
  <r>
    <x v="22"/>
    <x v="8"/>
    <x v="1"/>
    <n v="100"/>
    <n v="353140"/>
  </r>
  <r>
    <x v="23"/>
    <x v="5"/>
    <x v="1"/>
    <n v="4000"/>
    <n v="357140"/>
  </r>
  <r>
    <x v="24"/>
    <x v="5"/>
    <x v="1"/>
    <n v="4000"/>
    <n v="361140"/>
  </r>
  <r>
    <x v="25"/>
    <x v="2"/>
    <x v="1"/>
    <n v="250000"/>
    <n v="611140"/>
  </r>
  <r>
    <x v="25"/>
    <x v="1"/>
    <x v="0"/>
    <n v="33000"/>
    <n v="578140"/>
  </r>
  <r>
    <x v="25"/>
    <x v="6"/>
    <x v="0"/>
    <n v="20000"/>
    <n v="558140"/>
  </r>
  <r>
    <x v="25"/>
    <x v="10"/>
    <x v="1"/>
    <n v="60000"/>
    <n v="618140"/>
  </r>
  <r>
    <x v="25"/>
    <x v="5"/>
    <x v="1"/>
    <n v="4000"/>
    <n v="622140"/>
  </r>
  <r>
    <x v="25"/>
    <x v="3"/>
    <x v="0"/>
    <n v="5000"/>
    <n v="617140"/>
  </r>
  <r>
    <x v="26"/>
    <x v="5"/>
    <x v="1"/>
    <n v="40"/>
    <n v="617180"/>
  </r>
  <r>
    <x v="26"/>
    <x v="6"/>
    <x v="0"/>
    <n v="107500"/>
    <n v="509680"/>
  </r>
  <r>
    <x v="27"/>
    <x v="5"/>
    <x v="1"/>
    <n v="4000"/>
    <n v="513680"/>
  </r>
  <r>
    <x v="28"/>
    <x v="6"/>
    <x v="0"/>
    <n v="16000"/>
    <n v="497680"/>
  </r>
  <r>
    <x v="29"/>
    <x v="5"/>
    <x v="0"/>
    <n v="210"/>
    <n v="497470"/>
  </r>
  <r>
    <x v="29"/>
    <x v="5"/>
    <x v="1"/>
    <n v="420"/>
    <n v="497890"/>
  </r>
  <r>
    <x v="30"/>
    <x v="5"/>
    <x v="1"/>
    <n v="8000"/>
    <n v="505890"/>
  </r>
  <r>
    <x v="30"/>
    <x v="5"/>
    <x v="1"/>
    <n v="1000"/>
    <n v="506890"/>
  </r>
  <r>
    <x v="31"/>
    <x v="3"/>
    <x v="0"/>
    <n v="3300"/>
    <n v="503590"/>
  </r>
  <r>
    <x v="32"/>
    <x v="3"/>
    <x v="0"/>
    <n v="500"/>
    <n v="503090"/>
  </r>
  <r>
    <x v="33"/>
    <x v="5"/>
    <x v="1"/>
    <n v="2000"/>
    <n v="505090"/>
  </r>
  <r>
    <x v="33"/>
    <x v="4"/>
    <x v="0"/>
    <n v="17490"/>
    <n v="487600"/>
  </r>
  <r>
    <x v="33"/>
    <x v="1"/>
    <x v="0"/>
    <n v="4700"/>
    <n v="482900"/>
  </r>
  <r>
    <x v="34"/>
    <x v="5"/>
    <x v="1"/>
    <n v="4000"/>
    <n v="486900"/>
  </r>
  <r>
    <x v="34"/>
    <x v="1"/>
    <x v="0"/>
    <n v="4000"/>
    <n v="482900"/>
  </r>
  <r>
    <x v="35"/>
    <x v="5"/>
    <x v="1"/>
    <n v="4000"/>
    <n v="486900"/>
  </r>
  <r>
    <x v="35"/>
    <x v="4"/>
    <x v="0"/>
    <n v="3900"/>
    <n v="483000"/>
  </r>
  <r>
    <x v="35"/>
    <x v="1"/>
    <x v="0"/>
    <n v="4000"/>
    <n v="479000"/>
  </r>
  <r>
    <x v="35"/>
    <x v="5"/>
    <x v="1"/>
    <n v="1000"/>
    <n v="480000"/>
  </r>
  <r>
    <x v="36"/>
    <x v="2"/>
    <x v="1"/>
    <n v="250000"/>
    <n v="730000"/>
  </r>
  <r>
    <x v="36"/>
    <x v="5"/>
    <x v="1"/>
    <n v="15000"/>
    <n v="745000"/>
  </r>
  <r>
    <x v="36"/>
    <x v="1"/>
    <x v="0"/>
    <n v="22000"/>
    <n v="723000"/>
  </r>
  <r>
    <x v="36"/>
    <x v="5"/>
    <x v="1"/>
    <n v="93"/>
    <n v="723093"/>
  </r>
  <r>
    <x v="37"/>
    <x v="5"/>
    <x v="1"/>
    <n v="4000"/>
    <n v="727093"/>
  </r>
  <r>
    <x v="37"/>
    <x v="1"/>
    <x v="0"/>
    <n v="4000"/>
    <n v="723093"/>
  </r>
  <r>
    <x v="38"/>
    <x v="5"/>
    <x v="1"/>
    <n v="4000"/>
    <n v="727093"/>
  </r>
  <r>
    <x v="39"/>
    <x v="3"/>
    <x v="0"/>
    <n v="6500"/>
    <n v="720593"/>
  </r>
  <r>
    <x v="40"/>
    <x v="5"/>
    <x v="1"/>
    <n v="120000"/>
    <n v="840593"/>
  </r>
  <r>
    <x v="40"/>
    <x v="6"/>
    <x v="0"/>
    <n v="44656"/>
    <n v="795937"/>
  </r>
  <r>
    <x v="40"/>
    <x v="8"/>
    <x v="0"/>
    <n v="3000"/>
    <n v="792937"/>
  </r>
  <r>
    <x v="41"/>
    <x v="3"/>
    <x v="0"/>
    <n v="49000"/>
    <n v="743937"/>
  </r>
  <r>
    <x v="41"/>
    <x v="1"/>
    <x v="0"/>
    <n v="24500"/>
    <n v="719437"/>
  </r>
  <r>
    <x v="41"/>
    <x v="5"/>
    <x v="1"/>
    <n v="4000"/>
    <n v="723437"/>
  </r>
  <r>
    <x v="41"/>
    <x v="2"/>
    <x v="1"/>
    <n v="250"/>
    <n v="723687"/>
  </r>
  <r>
    <x v="41"/>
    <x v="2"/>
    <x v="1"/>
    <n v="249750"/>
    <n v="973437"/>
  </r>
  <r>
    <x v="41"/>
    <x v="1"/>
    <x v="0"/>
    <n v="4000"/>
    <n v="969437"/>
  </r>
  <r>
    <x v="41"/>
    <x v="11"/>
    <x v="0"/>
    <n v="30000"/>
    <n v="939437"/>
  </r>
  <r>
    <x v="42"/>
    <x v="3"/>
    <x v="0"/>
    <n v="15600"/>
    <n v="923837"/>
  </r>
  <r>
    <x v="43"/>
    <x v="11"/>
    <x v="0"/>
    <n v="49000"/>
    <n v="874837"/>
  </r>
  <r>
    <x v="43"/>
    <x v="5"/>
    <x v="1"/>
    <n v="54000"/>
    <n v="928837"/>
  </r>
  <r>
    <x v="43"/>
    <x v="3"/>
    <x v="0"/>
    <n v="146500"/>
    <n v="782337"/>
  </r>
  <r>
    <x v="43"/>
    <x v="1"/>
    <x v="0"/>
    <n v="17700"/>
    <n v="764637"/>
  </r>
  <r>
    <x v="43"/>
    <x v="4"/>
    <x v="0"/>
    <n v="17490"/>
    <n v="747147"/>
  </r>
  <r>
    <x v="43"/>
    <x v="6"/>
    <x v="0"/>
    <n v="20000"/>
    <n v="727147"/>
  </r>
  <r>
    <x v="43"/>
    <x v="5"/>
    <x v="1"/>
    <n v="5000"/>
    <n v="732147"/>
  </r>
  <r>
    <x v="43"/>
    <x v="6"/>
    <x v="0"/>
    <n v="9000"/>
    <n v="723147"/>
  </r>
  <r>
    <x v="43"/>
    <x v="6"/>
    <x v="0"/>
    <n v="1668"/>
    <n v="721479"/>
  </r>
  <r>
    <x v="43"/>
    <x v="3"/>
    <x v="0"/>
    <n v="500"/>
    <n v="720979"/>
  </r>
  <r>
    <x v="44"/>
    <x v="1"/>
    <x v="0"/>
    <n v="4500"/>
    <n v="716479"/>
  </r>
  <r>
    <x v="45"/>
    <x v="1"/>
    <x v="0"/>
    <n v="34000"/>
    <n v="682479"/>
  </r>
  <r>
    <x v="45"/>
    <x v="2"/>
    <x v="1"/>
    <n v="250000"/>
    <n v="932479"/>
  </r>
  <r>
    <x v="45"/>
    <x v="5"/>
    <x v="1"/>
    <n v="4000"/>
    <n v="936479"/>
  </r>
  <r>
    <x v="46"/>
    <x v="3"/>
    <x v="0"/>
    <n v="17000"/>
    <n v="919479"/>
  </r>
  <r>
    <x v="46"/>
    <x v="11"/>
    <x v="0"/>
    <n v="22900"/>
    <n v="896579"/>
  </r>
  <r>
    <x v="46"/>
    <x v="5"/>
    <x v="1"/>
    <n v="70000"/>
    <n v="966579"/>
  </r>
  <r>
    <x v="47"/>
    <x v="4"/>
    <x v="0"/>
    <n v="3900"/>
    <n v="962679"/>
  </r>
  <r>
    <x v="48"/>
    <x v="5"/>
    <x v="1"/>
    <n v="38000"/>
    <n v="1000679"/>
  </r>
  <r>
    <x v="48"/>
    <x v="1"/>
    <x v="0"/>
    <n v="6500"/>
    <n v="994179"/>
  </r>
  <r>
    <x v="49"/>
    <x v="3"/>
    <x v="0"/>
    <n v="34500"/>
    <n v="959679"/>
  </r>
  <r>
    <x v="49"/>
    <x v="11"/>
    <x v="0"/>
    <n v="2000"/>
    <n v="957679"/>
  </r>
  <r>
    <x v="49"/>
    <x v="5"/>
    <x v="1"/>
    <n v="55000"/>
    <n v="1012679"/>
  </r>
  <r>
    <x v="49"/>
    <x v="1"/>
    <x v="0"/>
    <n v="4350"/>
    <n v="1008329"/>
  </r>
  <r>
    <x v="49"/>
    <x v="6"/>
    <x v="0"/>
    <n v="55000"/>
    <n v="953329"/>
  </r>
  <r>
    <x v="49"/>
    <x v="6"/>
    <x v="0"/>
    <n v="44000"/>
    <n v="909329"/>
  </r>
  <r>
    <x v="49"/>
    <x v="1"/>
    <x v="0"/>
    <n v="22000"/>
    <n v="887329"/>
  </r>
  <r>
    <x v="49"/>
    <x v="5"/>
    <x v="1"/>
    <n v="2366"/>
    <n v="889695"/>
  </r>
  <r>
    <x v="49"/>
    <x v="5"/>
    <x v="1"/>
    <n v="0"/>
    <n v="889695"/>
  </r>
  <r>
    <x v="50"/>
    <x v="2"/>
    <x v="1"/>
    <n v="250000"/>
    <n v="1139695"/>
  </r>
  <r>
    <x v="50"/>
    <x v="5"/>
    <x v="1"/>
    <n v="4000"/>
    <n v="1143695"/>
  </r>
  <r>
    <x v="50"/>
    <x v="3"/>
    <x v="0"/>
    <n v="15650"/>
    <n v="1128045"/>
  </r>
  <r>
    <x v="50"/>
    <x v="1"/>
    <x v="0"/>
    <n v="27000"/>
    <n v="1101045"/>
  </r>
  <r>
    <x v="51"/>
    <x v="5"/>
    <x v="1"/>
    <n v="21000"/>
    <n v="1122045"/>
  </r>
  <r>
    <x v="51"/>
    <x v="3"/>
    <x v="0"/>
    <n v="28515"/>
    <n v="1093530"/>
  </r>
  <r>
    <x v="51"/>
    <x v="11"/>
    <x v="0"/>
    <n v="16900"/>
    <n v="1076630"/>
  </r>
  <r>
    <x v="51"/>
    <x v="11"/>
    <x v="0"/>
    <n v="150000"/>
    <n v="926630"/>
  </r>
  <r>
    <x v="52"/>
    <x v="5"/>
    <x v="1"/>
    <n v="88000"/>
    <n v="1014630"/>
  </r>
  <r>
    <x v="52"/>
    <x v="11"/>
    <x v="0"/>
    <n v="37700"/>
    <n v="976930"/>
  </r>
  <r>
    <x v="52"/>
    <x v="1"/>
    <x v="0"/>
    <n v="4000"/>
    <n v="972930"/>
  </r>
  <r>
    <x v="53"/>
    <x v="4"/>
    <x v="0"/>
    <n v="21390"/>
    <n v="951540"/>
  </r>
  <r>
    <x v="54"/>
    <x v="1"/>
    <x v="0"/>
    <n v="12000"/>
    <n v="939540"/>
  </r>
  <r>
    <x v="54"/>
    <x v="2"/>
    <x v="1"/>
    <n v="250000"/>
    <n v="1189540"/>
  </r>
  <r>
    <x v="54"/>
    <x v="1"/>
    <x v="0"/>
    <n v="14000"/>
    <n v="1175540"/>
  </r>
  <r>
    <x v="55"/>
    <x v="3"/>
    <x v="0"/>
    <n v="14500"/>
    <n v="1161040"/>
  </r>
  <r>
    <x v="55"/>
    <x v="5"/>
    <x v="1"/>
    <n v="30000"/>
    <n v="1191040"/>
  </r>
  <r>
    <x v="56"/>
    <x v="5"/>
    <x v="1"/>
    <m/>
    <n v="1191040"/>
  </r>
  <r>
    <x v="56"/>
    <x v="5"/>
    <x v="1"/>
    <n v="0"/>
    <n v="1191040"/>
  </r>
  <r>
    <x v="56"/>
    <x v="5"/>
    <x v="1"/>
    <n v="0"/>
    <n v="1191040"/>
  </r>
  <r>
    <x v="57"/>
    <x v="5"/>
    <x v="1"/>
    <n v="23000"/>
    <n v="1214040"/>
  </r>
  <r>
    <x v="57"/>
    <x v="11"/>
    <x v="0"/>
    <n v="144000"/>
    <n v="1070040"/>
  </r>
  <r>
    <x v="57"/>
    <x v="1"/>
    <x v="0"/>
    <n v="3300"/>
    <n v="1066740"/>
  </r>
  <r>
    <x v="58"/>
    <x v="2"/>
    <x v="1"/>
    <n v="250000"/>
    <n v="1316740"/>
  </r>
  <r>
    <x v="58"/>
    <x v="3"/>
    <x v="0"/>
    <n v="15000"/>
    <n v="1301740"/>
  </r>
  <r>
    <x v="58"/>
    <x v="6"/>
    <x v="0"/>
    <n v="78545"/>
    <n v="1223195"/>
  </r>
  <r>
    <x v="59"/>
    <x v="6"/>
    <x v="0"/>
    <n v="201488"/>
    <n v="1021707"/>
  </r>
  <r>
    <x v="58"/>
    <x v="6"/>
    <x v="0"/>
    <n v="201488"/>
    <n v="820219"/>
  </r>
  <r>
    <x v="60"/>
    <x v="2"/>
    <x v="1"/>
    <n v="250000"/>
    <n v="1070219"/>
  </r>
  <r>
    <x v="60"/>
    <x v="1"/>
    <x v="0"/>
    <n v="25600"/>
    <n v="1044619"/>
  </r>
  <r>
    <x v="60"/>
    <x v="6"/>
    <x v="0"/>
    <n v="66000"/>
    <n v="978619"/>
  </r>
  <r>
    <x v="60"/>
    <x v="11"/>
    <x v="0"/>
    <n v="1000"/>
    <n v="977619"/>
  </r>
  <r>
    <x v="59"/>
    <x v="4"/>
    <x v="0"/>
    <n v="21400"/>
    <n v="956219"/>
  </r>
  <r>
    <x v="60"/>
    <x v="11"/>
    <x v="0"/>
    <n v="3000"/>
    <n v="953219"/>
  </r>
  <r>
    <x v="60"/>
    <x v="3"/>
    <x v="0"/>
    <n v="4000"/>
    <n v="949219"/>
  </r>
  <r>
    <x v="60"/>
    <x v="3"/>
    <x v="0"/>
    <n v="16000"/>
    <n v="933219"/>
  </r>
  <r>
    <x v="60"/>
    <x v="5"/>
    <x v="1"/>
    <n v="4000"/>
    <n v="937219"/>
  </r>
  <r>
    <x v="59"/>
    <x v="6"/>
    <x v="0"/>
    <n v="117000"/>
    <n v="820219"/>
  </r>
  <r>
    <x v="61"/>
    <x v="1"/>
    <x v="0"/>
    <n v="9600"/>
    <n v="810619"/>
  </r>
  <r>
    <x v="62"/>
    <x v="1"/>
    <x v="0"/>
    <n v="35600"/>
    <n v="775019"/>
  </r>
  <r>
    <x v="62"/>
    <x v="12"/>
    <x v="0"/>
    <n v="8500"/>
    <n v="766519"/>
  </r>
  <r>
    <x v="62"/>
    <x v="6"/>
    <x v="0"/>
    <n v="105200"/>
    <n v="661319"/>
  </r>
  <r>
    <x v="63"/>
    <x v="2"/>
    <x v="1"/>
    <n v="250000"/>
    <n v="911319"/>
  </r>
  <r>
    <x v="63"/>
    <x v="5"/>
    <x v="1"/>
    <n v="11435"/>
    <n v="922754"/>
  </r>
  <r>
    <x v="64"/>
    <x v="5"/>
    <x v="1"/>
    <n v="0"/>
    <n v="922754"/>
  </r>
  <r>
    <x v="65"/>
    <x v="6"/>
    <x v="0"/>
    <n v="64900"/>
    <n v="857854"/>
  </r>
  <r>
    <x v="65"/>
    <x v="11"/>
    <x v="0"/>
    <n v="10000"/>
    <n v="847854"/>
  </r>
  <r>
    <x v="65"/>
    <x v="5"/>
    <x v="1"/>
    <n v="1100"/>
    <n v="848954"/>
  </r>
  <r>
    <x v="65"/>
    <x v="5"/>
    <x v="1"/>
    <n v="110000"/>
    <n v="958954"/>
  </r>
  <r>
    <x v="65"/>
    <x v="3"/>
    <x v="0"/>
    <n v="61600"/>
    <n v="897354"/>
  </r>
  <r>
    <x v="65"/>
    <x v="11"/>
    <x v="0"/>
    <n v="4743"/>
    <n v="892611"/>
  </r>
  <r>
    <x v="65"/>
    <x v="13"/>
    <x v="0"/>
    <n v="12900"/>
    <n v="879711"/>
  </r>
  <r>
    <x v="66"/>
    <x v="3"/>
    <x v="0"/>
    <n v="12500"/>
    <n v="867211"/>
  </r>
  <r>
    <x v="66"/>
    <x v="6"/>
    <x v="0"/>
    <n v="41800"/>
    <n v="825411"/>
  </r>
  <r>
    <x v="66"/>
    <x v="11"/>
    <x v="0"/>
    <n v="7411"/>
    <n v="818000"/>
  </r>
  <r>
    <x v="66"/>
    <x v="11"/>
    <x v="0"/>
    <n v="0"/>
    <n v="818000"/>
  </r>
  <r>
    <x v="67"/>
    <x v="11"/>
    <x v="0"/>
    <n v="0"/>
    <n v="818000"/>
  </r>
  <r>
    <x v="68"/>
    <x v="5"/>
    <x v="1"/>
    <n v="100000"/>
    <n v="918000"/>
  </r>
  <r>
    <x v="68"/>
    <x v="6"/>
    <x v="0"/>
    <n v="100000"/>
    <n v="818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3ABBDB-297A-44EF-A456-2549BE5DE96B}" name="LISTA_MES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10" firstHeaderRow="1" firstDataRow="1" firstDataCol="1"/>
  <pivotFields count="8">
    <pivotField numFmtId="165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72"/>
        <item x="44"/>
        <item x="45"/>
        <item x="46"/>
        <item x="47"/>
        <item x="48"/>
        <item x="49"/>
        <item m="1" x="71"/>
        <item x="50"/>
        <item m="1" x="7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69"/>
        <item x="63"/>
        <item x="64"/>
        <item x="65"/>
        <item x="66"/>
        <item x="67"/>
        <item x="68"/>
        <item t="default"/>
      </items>
    </pivotField>
    <pivotField showAll="0"/>
    <pivotField showAll="0"/>
    <pivotField numFmtId="44" showAll="0"/>
    <pivotField numFmtId="44"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6"/>
  </rowFields>
  <rowItems count="9">
    <i>
      <x v="1"/>
    </i>
    <i>
      <x v="2"/>
    </i>
    <i>
      <x v="3"/>
    </i>
    <i>
      <x v="7"/>
    </i>
    <i>
      <x v="8"/>
    </i>
    <i>
      <x v="9"/>
    </i>
    <i>
      <x v="10"/>
    </i>
    <i>
      <x v="11"/>
    </i>
    <i>
      <x v="12"/>
    </i>
  </rowItems>
  <colItems count="1">
    <i/>
  </colItems>
  <formats count="1">
    <format dxfId="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AF5AAA-A38D-44A6-8180-DA20C59AEBE4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0">
  <location ref="A3:H13" firstHeaderRow="1" firstDataRow="3" firstDataCol="1"/>
  <pivotFields count="8">
    <pivotField numFmtId="165" subtotalTop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72"/>
        <item x="44"/>
        <item x="45"/>
        <item x="46"/>
        <item x="47"/>
        <item x="48"/>
        <item x="49"/>
        <item m="1" x="71"/>
        <item x="50"/>
        <item m="1" x="7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69"/>
        <item x="63"/>
        <item x="64"/>
        <item x="65"/>
        <item x="66"/>
        <item x="67"/>
        <item x="68"/>
      </items>
    </pivotField>
    <pivotField axis="axisRow" subtotalTop="0" showAll="0" defaultSubtotal="0">
      <items count="15">
        <item x="3"/>
        <item x="5"/>
        <item x="10"/>
        <item x="8"/>
        <item x="9"/>
        <item x="2"/>
        <item x="0"/>
        <item x="6"/>
        <item x="4"/>
        <item x="7"/>
        <item x="1"/>
        <item m="1" x="14"/>
        <item x="11"/>
        <item x="12"/>
        <item x="13"/>
      </items>
    </pivotField>
    <pivotField axis="axisRow" subtotalTop="0" showAll="0" defaultSubtotal="0">
      <items count="5">
        <item h="1" x="0"/>
        <item h="1" m="1" x="3"/>
        <item x="1"/>
        <item h="1" m="1" x="4"/>
        <item h="1" m="1" x="2"/>
      </items>
    </pivotField>
    <pivotField dataField="1" numFmtId="44" showAll="0" defaultSubtotal="0"/>
    <pivotField numFmtId="44" subtotalTop="0" showAll="0" defaultSubtotal="0"/>
    <pivotField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axis="axisCol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ubtotalTop="0" showAll="0" defaultSubtotal="0">
      <items count="4">
        <item x="1"/>
        <item x="2"/>
        <item x="0"/>
        <item x="3"/>
      </items>
    </pivotField>
  </pivotFields>
  <rowFields count="2">
    <field x="2"/>
    <field x="1"/>
  </rowFields>
  <rowItems count="8"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2">
    <field x="7"/>
    <field x="6"/>
  </colFields>
  <colItems count="7">
    <i>
      <x/>
      <x v="7"/>
    </i>
    <i r="1">
      <x v="8"/>
    </i>
    <i r="1">
      <x v="9"/>
    </i>
    <i r="1">
      <x v="10"/>
    </i>
    <i r="1">
      <x v="11"/>
    </i>
    <i r="1">
      <x v="12"/>
    </i>
    <i>
      <x v="1"/>
      <x v="2"/>
    </i>
  </colItems>
  <dataFields count="1">
    <dataField name="Suma de TOTAL" fld="3" baseField="0" baseItem="0" numFmtId="44"/>
  </dataFields>
  <chartFormats count="5">
    <chartFormat chart="16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7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16" format="8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9"/>
          </reference>
          <reference field="7" count="1" selected="0">
            <x v="0"/>
          </reference>
        </references>
      </pivotArea>
    </chartFormat>
    <chartFormat chart="16" format="8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5BB35-FFEF-493D-B713-D5E56F836FF3}" name="TablaDiná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4">
  <location ref="A19:J33" firstHeaderRow="1" firstDataRow="3" firstDataCol="1"/>
  <pivotFields count="8">
    <pivotField numFmtId="165" subtotalTop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72"/>
        <item x="44"/>
        <item x="45"/>
        <item x="46"/>
        <item x="47"/>
        <item x="48"/>
        <item x="49"/>
        <item m="1" x="71"/>
        <item x="50"/>
        <item m="1" x="7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69"/>
        <item x="63"/>
        <item x="64"/>
        <item x="65"/>
        <item x="66"/>
        <item x="67"/>
        <item x="68"/>
      </items>
    </pivotField>
    <pivotField axis="axisRow" subtotalTop="0" showAll="0" defaultSubtotal="0">
      <items count="15">
        <item x="3"/>
        <item x="5"/>
        <item x="10"/>
        <item x="8"/>
        <item x="9"/>
        <item x="2"/>
        <item x="0"/>
        <item x="6"/>
        <item x="4"/>
        <item x="7"/>
        <item x="1"/>
        <item m="1" x="14"/>
        <item x="11"/>
        <item x="12"/>
        <item x="13"/>
      </items>
    </pivotField>
    <pivotField axis="axisRow" subtotalTop="0" showAll="0" defaultSubtotal="0">
      <items count="5">
        <item x="0"/>
        <item h="1" m="1" x="3"/>
        <item h="1" x="1"/>
        <item h="1" m="1" x="4"/>
        <item h="1" m="1" x="2"/>
      </items>
    </pivotField>
    <pivotField dataField="1" numFmtId="44" showAll="0" defaultSubtotal="0"/>
    <pivotField numFmtId="44" subtotalTop="0" showAll="0" defaultSubtotal="0"/>
    <pivotField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axis="axisCol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ubtotalTop="0" showAll="0" defaultSubtotal="0">
      <items count="4">
        <item x="1"/>
        <item x="2"/>
        <item x="0"/>
        <item x="3"/>
      </items>
    </pivotField>
  </pivotFields>
  <rowFields count="2">
    <field x="2"/>
    <field x="1"/>
  </rowFields>
  <rowItems count="12">
    <i>
      <x/>
    </i>
    <i r="1">
      <x/>
    </i>
    <i r="1">
      <x v="1"/>
    </i>
    <i r="1">
      <x v="3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</rowItems>
  <colFields count="2">
    <field x="7"/>
    <field x="6"/>
  </colFields>
  <colItems count="9">
    <i>
      <x/>
      <x v="7"/>
    </i>
    <i r="1">
      <x v="8"/>
    </i>
    <i r="1">
      <x v="9"/>
    </i>
    <i r="1">
      <x v="10"/>
    </i>
    <i r="1">
      <x v="11"/>
    </i>
    <i r="1">
      <x v="12"/>
    </i>
    <i>
      <x v="1"/>
      <x v="1"/>
    </i>
    <i r="1">
      <x v="2"/>
    </i>
    <i r="1">
      <x v="3"/>
    </i>
  </colItems>
  <dataFields count="1">
    <dataField name="Suma de TOTAL" fld="3" baseField="0" baseItem="0" numFmtId="44"/>
  </dataFields>
  <chartFormats count="6"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3" format="7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13" format="7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9"/>
          </reference>
          <reference field="7" count="1" selected="0">
            <x v="0"/>
          </reference>
        </references>
      </pivotArea>
    </chartFormat>
    <chartFormat chart="13" format="7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7" count="1" selected="0">
            <x v="0"/>
          </reference>
        </references>
      </pivotArea>
    </chartFormat>
    <chartFormat chart="13" format="8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5C7D7D-9C2D-427D-9F6C-2CBBEA970D29}" name="TABLA_GRAF_ TIEMPO" cacheId="0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8" indent="0" showHeaders="0" outline="1" outlineData="1" multipleFieldFilters="0" chartFormat="20" rowHeaderCaption="TIPO">
  <location ref="A40:C51" firstHeaderRow="1" firstDataRow="2" firstDataCol="1"/>
  <pivotFields count="8">
    <pivotField numFmtId="165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72"/>
        <item x="44"/>
        <item x="45"/>
        <item x="46"/>
        <item x="47"/>
        <item x="48"/>
        <item x="49"/>
        <item m="1" x="71"/>
        <item x="50"/>
        <item m="1" x="7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69"/>
        <item x="63"/>
        <item x="64"/>
        <item x="65"/>
        <item x="66"/>
        <item x="67"/>
        <item x="68"/>
        <item t="default"/>
      </items>
    </pivotField>
    <pivotField showAll="0"/>
    <pivotField axis="axisCol" showAll="0">
      <items count="6">
        <item m="1" x="3"/>
        <item x="1"/>
        <item m="1" x="4"/>
        <item x="0"/>
        <item m="1" x="2"/>
        <item t="default"/>
      </items>
    </pivotField>
    <pivotField dataField="1" showAll="0"/>
    <pivotField numFmtId="44"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15">
        <item h="1" x="0"/>
        <item h="1" x="1"/>
        <item x="2"/>
        <item h="1" x="3"/>
        <item h="1" x="4"/>
        <item h="1" x="5"/>
        <item h="1" x="6"/>
        <item x="7"/>
        <item x="8"/>
        <item x="9"/>
        <item x="10"/>
        <item x="11"/>
        <item x="12"/>
        <item h="1" x="13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7"/>
    <field x="6"/>
  </rowFields>
  <rowItems count="10">
    <i>
      <x/>
    </i>
    <i r="1">
      <x v="7"/>
    </i>
    <i r="1">
      <x v="8"/>
    </i>
    <i r="1">
      <x v="9"/>
    </i>
    <i r="1">
      <x v="10"/>
    </i>
    <i r="1">
      <x v="11"/>
    </i>
    <i r="1">
      <x v="12"/>
    </i>
    <i>
      <x v="1"/>
    </i>
    <i r="1">
      <x v="2"/>
    </i>
    <i t="grand">
      <x/>
    </i>
  </rowItems>
  <colFields count="1">
    <field x="2"/>
  </colFields>
  <colItems count="2">
    <i>
      <x v="1"/>
    </i>
    <i>
      <x v="3"/>
    </i>
  </colItems>
  <dataFields count="1">
    <dataField name="Suma de TOTAL" fld="3" baseField="0" baseItem="0"/>
  </dataFields>
  <formats count="2">
    <format dxfId="1">
      <pivotArea outline="0" collapsedLevelsAreSubtotals="1" fieldPosition="0"/>
    </format>
    <format dxfId="0">
      <pivotArea outline="0" collapsedLevelsAreSubtotals="1" fieldPosition="0"/>
    </format>
  </formats>
  <chartFormats count="5">
    <chartFormat chart="1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1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1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1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A12FF5-79D8-4234-96C8-D2630A5235DC}" name="TABLA_GASTOS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showHeaders="0" outline="1" outlineData="1" multipleFieldFilters="0" chartFormat="26" rowHeaderCaption="DESCRIPCION" colHeaderCaption="MESES">
  <location ref="A1:D11" firstHeaderRow="1" firstDataRow="3" firstDataCol="1"/>
  <pivotFields count="8">
    <pivotField numFmtId="165" subtotalTop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72"/>
        <item x="44"/>
        <item x="45"/>
        <item x="46"/>
        <item x="47"/>
        <item x="48"/>
        <item x="49"/>
        <item m="1" x="71"/>
        <item x="50"/>
        <item m="1" x="7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69"/>
        <item x="63"/>
        <item x="64"/>
        <item x="65"/>
        <item x="66"/>
        <item x="67"/>
        <item x="68"/>
      </items>
    </pivotField>
    <pivotField axis="axisRow" subtotalTop="0" showAll="0" defaultSubtotal="0">
      <items count="15">
        <item x="3"/>
        <item x="5"/>
        <item x="10"/>
        <item x="8"/>
        <item x="9"/>
        <item x="2"/>
        <item x="0"/>
        <item x="6"/>
        <item x="4"/>
        <item x="7"/>
        <item x="1"/>
        <item m="1" x="14"/>
        <item x="11"/>
        <item x="12"/>
        <item x="13"/>
      </items>
    </pivotField>
    <pivotField axis="axisRow" subtotalTop="0" showAll="0" defaultSubtotal="0">
      <items count="5">
        <item x="0"/>
        <item h="1" m="1" x="3"/>
        <item h="1" x="1"/>
        <item h="1" m="1" x="4"/>
        <item h="1" m="1" x="2"/>
      </items>
    </pivotField>
    <pivotField dataField="1" numFmtId="44" showAll="0" defaultSubtotal="0"/>
    <pivotField numFmtId="44" subtotalTop="0" showAll="0" defaultSubtotal="0"/>
    <pivotField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axis="axisCol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ubtotalTop="0" showAll="0" defaultSubtotal="0">
      <items count="4">
        <item h="1" x="1"/>
        <item x="2"/>
        <item h="1" x="0"/>
        <item h="1" x="3"/>
      </items>
    </pivotField>
  </pivotFields>
  <rowFields count="2">
    <field x="2"/>
    <field x="1"/>
  </rowFields>
  <rowItems count="8">
    <i>
      <x/>
    </i>
    <i r="1">
      <x/>
    </i>
    <i r="1">
      <x v="7"/>
    </i>
    <i r="1">
      <x v="8"/>
    </i>
    <i r="1">
      <x v="10"/>
    </i>
    <i r="1">
      <x v="12"/>
    </i>
    <i r="1">
      <x v="13"/>
    </i>
    <i r="1">
      <x v="14"/>
    </i>
  </rowItems>
  <colFields count="2">
    <field x="7"/>
    <field x="6"/>
  </colFields>
  <colItems count="3">
    <i>
      <x v="1"/>
      <x v="1"/>
    </i>
    <i r="1">
      <x v="2"/>
    </i>
    <i r="1">
      <x v="3"/>
    </i>
  </colItems>
  <dataFields count="1">
    <dataField name="TABLA DE GASTOS" fld="3" baseField="0" baseItem="0" numFmtId="44"/>
  </dataFields>
  <chartFormats count="1">
    <chartFormat chart="9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0607B-9B3C-49D8-A65A-55A821B343E7}" name="TABLA_INGRESOS_PRE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showHeaders="0" outline="1" outlineData="1" multipleFieldFilters="0" chartFormat="5" rowHeaderCaption="DESCRIPCION">
  <location ref="A1:H11" firstHeaderRow="1" firstDataRow="3" firstDataCol="1"/>
  <pivotFields count="8">
    <pivotField numFmtId="165" subtotalTop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72"/>
        <item x="44"/>
        <item x="45"/>
        <item x="46"/>
        <item x="47"/>
        <item x="48"/>
        <item x="49"/>
        <item m="1" x="71"/>
        <item x="50"/>
        <item m="1" x="7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69"/>
        <item x="63"/>
        <item x="64"/>
        <item x="65"/>
        <item x="66"/>
        <item x="67"/>
        <item x="68"/>
      </items>
    </pivotField>
    <pivotField axis="axisRow" subtotalTop="0" showAll="0" defaultSubtotal="0">
      <items count="15">
        <item x="3"/>
        <item x="5"/>
        <item x="10"/>
        <item x="8"/>
        <item x="9"/>
        <item x="2"/>
        <item x="0"/>
        <item x="6"/>
        <item x="4"/>
        <item x="7"/>
        <item x="1"/>
        <item m="1" x="14"/>
        <item x="11"/>
        <item x="12"/>
        <item x="13"/>
      </items>
    </pivotField>
    <pivotField axis="axisRow" subtotalTop="0" showAll="0" defaultSubtotal="0">
      <items count="5">
        <item h="1" x="0"/>
        <item h="1" m="1" x="3"/>
        <item x="1"/>
        <item h="1" m="1" x="4"/>
        <item h="1" m="1" x="2"/>
      </items>
    </pivotField>
    <pivotField dataField="1" numFmtId="44" showAll="0" defaultSubtotal="0"/>
    <pivotField numFmtId="44" subtotalTop="0" showAll="0" defaultSubtotal="0"/>
    <pivotField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axis="axisCol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ubtotalTop="0" showAll="0" defaultSubtotal="0">
      <items count="4">
        <item x="1"/>
        <item x="2"/>
        <item x="0"/>
        <item x="3"/>
      </items>
    </pivotField>
  </pivotFields>
  <rowFields count="2">
    <field x="2"/>
    <field x="1"/>
  </rowFields>
  <rowItems count="8"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2">
    <field x="7"/>
    <field x="6"/>
  </colFields>
  <colItems count="7">
    <i>
      <x/>
      <x v="7"/>
    </i>
    <i r="1">
      <x v="8"/>
    </i>
    <i r="1">
      <x v="9"/>
    </i>
    <i r="1">
      <x v="10"/>
    </i>
    <i r="1">
      <x v="11"/>
    </i>
    <i r="1">
      <x v="12"/>
    </i>
    <i>
      <x v="1"/>
      <x v="2"/>
    </i>
  </colItems>
  <dataFields count="1">
    <dataField name="Suma de TOTAL" fld="3" baseField="0" baseItem="0" numFmtId="44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DATE" xr10:uid="{9F396206-ED8D-4F82-B0A0-AF6D53F60BFA}" sourceName="Años (DATE)">
  <pivotTables>
    <pivotTable tabId="17" name="TABLA_GASTOS"/>
  </pivotTables>
  <data>
    <tabular pivotCacheId="1334998525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DATE" xr10:uid="{DE10A1F7-DA87-46A6-8B6B-E7960A883347}" sourceName="Meses (DATE)">
  <pivotTables>
    <pivotTable tabId="19" name="TABLA_GRAF_ TIEMPO"/>
  </pivotTables>
  <data>
    <tabular pivotCacheId="1334998525">
      <items count="14">
        <i x="1"/>
        <i x="2" s="1"/>
        <i x="3"/>
        <i x="7" s="1"/>
        <i x="8" s="1"/>
        <i x="9" s="1"/>
        <i x="10" s="1"/>
        <i x="11" s="1"/>
        <i x="12" s="1"/>
        <i x="4" nd="1"/>
        <i x="5" nd="1"/>
        <i x="6" nd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 (DATE)" xr10:uid="{48D99600-0091-47D4-A436-65A279FF3828}" cache="SegmentaciónDeDatos_Años__DATE" caption="Años (DATE)" startItem="1" showCaption="0" style="ENCABEZADO SEGMENTACION 1" rowHeight="1332000"/>
  <slicer name="Meses (DATE)" xr10:uid="{464A6A63-9131-44D2-BAE2-7C72AE7402C6}" cache="SegmentaciónDeDatos_Meses__DATE" caption="Meses (DATE)" showCaption="0" style="PRESUPUESTO_AÑO" rowHeight="180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1ACAEA1-1AF2-4ECF-8A2D-D5A3F3CE383A}" name="Tabla2516" displayName="Tabla2516" ref="C9:D16" totalsRowCount="1" headerRowDxfId="61" dataDxfId="60" totalsRowDxfId="59" totalsRowBorderDxfId="58">
  <autoFilter ref="C9:D15" xr:uid="{71ACAEA1-1AF2-4ECF-8A2D-D5A3F3CE383A}"/>
  <tableColumns count="2">
    <tableColumn id="1" xr3:uid="{6478B729-63FF-462D-8083-B612054E5423}" name="ACCOUNT" totalsRowLabel="Total registered" dataDxfId="57" totalsRowDxfId="56"/>
    <tableColumn id="2" xr3:uid="{06014336-B611-4FB7-818A-180377A2B47E}" name="BALANCE" totalsRowFunction="sum" dataDxfId="55" totalsRowDxfId="54" dataCellStyle="Moneda" totalsRow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8AB822-6372-4D04-B2E2-4728361AA6C8}" name="Tabla2" displayName="Tabla2" ref="L8:M24" totalsRowShown="0" headerRowDxfId="53" dataDxfId="52">
  <autoFilter ref="L8:M24" xr:uid="{D18AB822-6372-4D04-B2E2-4728361AA6C8}"/>
  <sortState xmlns:xlrd2="http://schemas.microsoft.com/office/spreadsheetml/2017/richdata2" ref="L9:M19">
    <sortCondition ref="L9:L28"/>
    <sortCondition ref="M9:M28"/>
  </sortState>
  <tableColumns count="2">
    <tableColumn id="1" xr3:uid="{C451D2BB-2079-4EC1-8011-130C50105DAB}" name="TYPE" dataDxfId="51" dataCellStyle="Moneda"/>
    <tableColumn id="2" xr3:uid="{94A1C22F-A3D1-4F6B-8D85-A339504834B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8F46F1-94F0-4092-A526-9A50D3E590DD}" name="REGISTRO" displayName="REGISTRO" ref="F7:J198" headerRowDxfId="49" dataDxfId="48" totalsRowDxfId="47">
  <autoFilter ref="F7:J198" xr:uid="{E78F46F1-94F0-4092-A526-9A50D3E590DD}">
    <filterColumn colId="0">
      <customFilters>
        <customFilter operator="notEqual" val=" "/>
      </customFilters>
    </filterColumn>
  </autoFilter>
  <sortState xmlns:xlrd2="http://schemas.microsoft.com/office/spreadsheetml/2017/richdata2" ref="F8:J66">
    <sortCondition ref="F7:F66"/>
  </sortState>
  <tableColumns count="5">
    <tableColumn id="1" xr3:uid="{C7A80D1D-9685-4DB5-85B0-1E3F4606F336}" name="DATE" dataDxfId="46" totalsRowDxfId="45" dataCellStyle="Moneda" totalsRowCellStyle="Moneda"/>
    <tableColumn id="2" xr3:uid="{2413702C-BE9A-468C-9F63-A45542DDE74A}" name="DESCRIPTION" dataDxfId="44" totalsRowDxfId="43"/>
    <tableColumn id="3" xr3:uid="{63E3F27D-56FA-466F-9CAC-619D03853F61}" name="TYPE" dataDxfId="42" totalsRowDxfId="41"/>
    <tableColumn id="4" xr3:uid="{71B0DAE6-D1F3-45EB-BB22-4136F3C12E14}" name="TOTAL" dataDxfId="40" totalsRowDxfId="39" dataCellStyle="Moneda" totalsRowCellStyle="Moneda"/>
    <tableColumn id="5" xr3:uid="{0FC4F6B1-351A-4092-849B-E0DB63C06FD8}" name="MONEY BALANCE" dataDxfId="38" totalsRowDxfId="37" dataCellStyle="Moneda" totalsRow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6214DB-5323-47F9-9411-F49750B21544}" name="SECCION_INGRESOS" displayName="SECCION_INGRESOS" ref="G18:H25" totalsRowCount="1" headerRowDxfId="23" dataDxfId="22" totalsRowDxfId="21">
  <autoFilter ref="G18:H24" xr:uid="{286214DB-5323-47F9-9411-F49750B21544}">
    <filterColumn colId="0" hiddenButton="1"/>
    <filterColumn colId="1" hiddenButton="1"/>
  </autoFilter>
  <sortState xmlns:xlrd2="http://schemas.microsoft.com/office/spreadsheetml/2017/richdata2" ref="G19:H24">
    <sortCondition descending="1" ref="H18:H24"/>
  </sortState>
  <tableColumns count="2">
    <tableColumn id="1" xr3:uid="{FFB00050-DD4D-4372-86F7-8D0326DC1661}" name="TYPE" totalsRowLabel="Total" dataDxfId="20" totalsRowDxfId="19"/>
    <tableColumn id="2" xr3:uid="{4D35A371-94FD-4B6A-B0EB-40D9B5CA912E}" name="AMOUNT" totalsRowFunction="sum" dataDxfId="18" totalsRowDxfId="17" dataCellStyle="Moneda">
      <calculatedColumnFormula>_xlfn.IFNA(VLOOKUP(SECCION_INGRESOS[[#This Row],[TYPE]],'TABLA INGRESOS PRE'!$1:$1048576,MATCH(LEFT(LOWER($A$1),3),'TABLA INGRESOS PRE'!$3:$3,0),FALSE),0)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88B403-0920-4B99-940A-738837B01F39}" name="GASTOS_FIJOS" displayName="GASTOS_FIJOS" ref="L18:M22" totalsRowCount="1" headerRowDxfId="16" dataDxfId="15" totalsRowDxfId="14">
  <autoFilter ref="L18:M21" xr:uid="{9788B403-0920-4B99-940A-738837B01F39}">
    <filterColumn colId="0" hiddenButton="1"/>
    <filterColumn colId="1" hiddenButton="1"/>
  </autoFilter>
  <sortState xmlns:xlrd2="http://schemas.microsoft.com/office/spreadsheetml/2017/richdata2" ref="L19:M21">
    <sortCondition descending="1" ref="M21"/>
  </sortState>
  <tableColumns count="2">
    <tableColumn id="1" xr3:uid="{B6ECD43C-A620-42C1-AEA3-376E9794CCBF}" name="TYPE" totalsRowLabel="Total" dataDxfId="13" totalsRowDxfId="12"/>
    <tableColumn id="2" xr3:uid="{A955092B-3EED-492D-A83C-203050476A01}" name="AMOUNT" totalsRowFunction="sum" dataDxfId="11" totalsRowDxfId="10" dataCellStyle="Moneda">
      <calculatedColumnFormula>_xlfn.IFNA(VLOOKUP(L19,'TABLA GASTOS PRE'!$1:$1048576,MATCH(LEFT($A$1,3),'TABLA GASTOS PRE'!$3:$3,0),FALSE),0)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64D495E-59C3-4749-B61A-1C6791383469}" name="GASTOS_VARIABLES" displayName="GASTOS_VARIABLES" ref="Q18:R24" totalsRowCount="1" headerRowDxfId="9" dataDxfId="8" totalsRowDxfId="7">
  <autoFilter ref="Q18:R23" xr:uid="{E64D495E-59C3-4749-B61A-1C6791383469}">
    <filterColumn colId="0" hiddenButton="1"/>
    <filterColumn colId="1" hiddenButton="1"/>
  </autoFilter>
  <sortState xmlns:xlrd2="http://schemas.microsoft.com/office/spreadsheetml/2017/richdata2" ref="Q19:R23">
    <sortCondition descending="1" ref="R18:R23"/>
  </sortState>
  <tableColumns count="2">
    <tableColumn id="1" xr3:uid="{9EE90915-C534-44AF-B9C7-19E94ED1651C}" name="TYPE" totalsRowLabel="Total" dataDxfId="6" totalsRowDxfId="5"/>
    <tableColumn id="2" xr3:uid="{B2A721B8-0EAB-4EDE-A813-350F3CA65101}" name="AMOUNT" totalsRowFunction="sum" dataDxfId="4" totalsRowDxfId="3" dataCellStyle="Moneda">
      <calculatedColumnFormula>_xlfn.IFNA(VLOOKUP(Q19,'TABLA GASTOS PRE'!$1:$1048576,MATCH(LEFT($A$1,3),'TABLA GASTOS PRE'!$3:$3,0),FALSE),0)</calculatedColumnFormula>
    </tableColumn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von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Personalizado 2">
      <a:majorFont>
        <a:latin typeface="Raleway"/>
        <a:ea typeface=""/>
        <a:cs typeface=""/>
      </a:majorFont>
      <a:minorFont>
        <a:latin typeface="Raleway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7" dT="2025-08-28T16:25:45.28" personId="{4156F9A2-B793-4461-A763-753D99DCB495}" id="{9EC3166C-1074-4C35-8B01-0245A8AC9F9B}" done="1">
    <text xml:space="preserve">Ingresa tu balance inicial de dinero para empezar a registrar tus gastos e ingresos.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1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5CE09-2299-44F3-BAEC-16DE991071F7}">
  <sheetPr codeName="Hoja1">
    <tabColor theme="9" tint="-0.249977111117893"/>
  </sheetPr>
  <dimension ref="A1:BC198"/>
  <sheetViews>
    <sheetView showGridLines="0" showRowColHeaders="0" tabSelected="1" zoomScale="74" zoomScaleNormal="104" workbookViewId="0">
      <selection activeCell="K22" sqref="K22"/>
    </sheetView>
  </sheetViews>
  <sheetFormatPr baseColWidth="10" defaultColWidth="0" defaultRowHeight="22.5" x14ac:dyDescent="0.4"/>
  <cols>
    <col min="1" max="1" width="11.5546875" style="68" customWidth="1"/>
    <col min="2" max="2" width="10.77734375" style="67" customWidth="1"/>
    <col min="3" max="3" width="18.5546875" style="68" bestFit="1" customWidth="1"/>
    <col min="4" max="4" width="16" style="68" customWidth="1"/>
    <col min="5" max="5" width="13.88671875" style="69" customWidth="1"/>
    <col min="6" max="6" width="13.33203125" style="69" bestFit="1" customWidth="1"/>
    <col min="7" max="7" width="17.77734375" style="68" bestFit="1" customWidth="1"/>
    <col min="8" max="8" width="11.109375" style="68" bestFit="1" customWidth="1"/>
    <col min="9" max="9" width="16.33203125" style="68" bestFit="1" customWidth="1"/>
    <col min="10" max="10" width="23.5546875" style="68" bestFit="1" customWidth="1"/>
    <col min="11" max="11" width="16.33203125" style="68" customWidth="1"/>
    <col min="12" max="12" width="11.109375" style="70" bestFit="1" customWidth="1"/>
    <col min="13" max="13" width="17.77734375" style="68" bestFit="1" customWidth="1"/>
    <col min="14" max="14" width="12.21875" style="68" bestFit="1" customWidth="1"/>
    <col min="15" max="15" width="10.77734375" style="68" hidden="1" customWidth="1"/>
    <col min="16" max="16" width="11.6640625" style="68" hidden="1" customWidth="1"/>
    <col min="17" max="17" width="10.77734375" style="68" hidden="1" customWidth="1"/>
    <col min="18" max="19" width="11.6640625" style="68" hidden="1" customWidth="1"/>
    <col min="20" max="20" width="12.5546875" style="68" hidden="1" customWidth="1"/>
    <col min="21" max="22" width="11.6640625" style="68" hidden="1" customWidth="1"/>
    <col min="23" max="23" width="11.21875" style="68" hidden="1" customWidth="1"/>
    <col min="24" max="24" width="11.33203125" style="68" hidden="1" customWidth="1"/>
    <col min="25" max="25" width="11.77734375" style="68" hidden="1" customWidth="1"/>
    <col min="26" max="26" width="10.88671875" style="68" hidden="1" customWidth="1"/>
    <col min="27" max="27" width="11.5546875" style="68" hidden="1" customWidth="1"/>
    <col min="28" max="29" width="11.6640625" style="68" hidden="1" customWidth="1"/>
    <col min="30" max="30" width="11.33203125" style="68" hidden="1" customWidth="1"/>
    <col min="31" max="31" width="11.21875" style="68" hidden="1" customWidth="1"/>
    <col min="32" max="32" width="11.77734375" style="68" hidden="1" customWidth="1"/>
    <col min="33" max="33" width="11.33203125" style="68" hidden="1" customWidth="1"/>
    <col min="34" max="34" width="11.6640625" style="68" hidden="1" customWidth="1"/>
    <col min="35" max="35" width="11.77734375" style="68" hidden="1" customWidth="1"/>
    <col min="36" max="36" width="12.44140625" style="68" hidden="1" customWidth="1"/>
    <col min="37" max="37" width="12.5546875" style="68" hidden="1" customWidth="1"/>
    <col min="38" max="38" width="11.77734375" style="68" hidden="1" customWidth="1"/>
    <col min="39" max="39" width="12.5546875" style="68" hidden="1" customWidth="1"/>
    <col min="40" max="40" width="10.77734375" style="68" hidden="1" customWidth="1"/>
    <col min="41" max="41" width="11.6640625" style="68" hidden="1" customWidth="1"/>
    <col min="42" max="42" width="11.77734375" style="68" hidden="1" customWidth="1"/>
    <col min="43" max="43" width="12" style="68" hidden="1" customWidth="1"/>
    <col min="44" max="45" width="11.77734375" style="68" hidden="1" customWidth="1"/>
    <col min="46" max="46" width="12" style="68" hidden="1" customWidth="1"/>
    <col min="47" max="47" width="11.6640625" style="68" hidden="1" customWidth="1"/>
    <col min="48" max="48" width="10.77734375" style="68" hidden="1" customWidth="1"/>
    <col min="49" max="49" width="11.6640625" style="68" hidden="1" customWidth="1"/>
    <col min="50" max="50" width="11.5546875" style="68" hidden="1" customWidth="1"/>
    <col min="51" max="51" width="11.21875" style="68" hidden="1" customWidth="1"/>
    <col min="52" max="53" width="11.77734375" style="68" hidden="1" customWidth="1"/>
    <col min="54" max="54" width="12" style="68" hidden="1" customWidth="1"/>
    <col min="55" max="55" width="12.88671875" style="68" hidden="1" customWidth="1"/>
    <col min="56" max="16384" width="11.5546875" style="68" hidden="1"/>
  </cols>
  <sheetData>
    <row r="1" spans="2:13" x14ac:dyDescent="0.4">
      <c r="F1" s="87" t="s">
        <v>77</v>
      </c>
      <c r="G1" s="87"/>
      <c r="H1" s="87"/>
      <c r="I1" s="87"/>
      <c r="J1" s="87"/>
    </row>
    <row r="2" spans="2:13" x14ac:dyDescent="0.4">
      <c r="F2" s="87"/>
      <c r="G2" s="87"/>
      <c r="H2" s="87"/>
      <c r="I2" s="87"/>
      <c r="J2" s="87"/>
    </row>
    <row r="7" spans="2:13" x14ac:dyDescent="0.4">
      <c r="C7" s="71" t="s">
        <v>41</v>
      </c>
      <c r="D7" s="72">
        <v>245520</v>
      </c>
      <c r="F7" s="73" t="s">
        <v>44</v>
      </c>
      <c r="G7" s="74" t="s">
        <v>43</v>
      </c>
      <c r="H7" s="74" t="s">
        <v>26</v>
      </c>
      <c r="I7" s="75" t="s">
        <v>0</v>
      </c>
      <c r="J7" s="75" t="s">
        <v>45</v>
      </c>
      <c r="L7" s="85" t="s">
        <v>47</v>
      </c>
      <c r="M7" s="86"/>
    </row>
    <row r="8" spans="2:13" x14ac:dyDescent="0.4">
      <c r="F8" s="76">
        <v>45852</v>
      </c>
      <c r="G8" s="77" t="s">
        <v>1</v>
      </c>
      <c r="H8" s="77" t="s">
        <v>46</v>
      </c>
      <c r="I8" s="59">
        <f>25200+30000+6200</f>
        <v>61400</v>
      </c>
      <c r="J8" s="59">
        <f>IF(H8="EXPENSE",BALANCE_INICIAL-REGISTRO[[#This Row],[TOTAL]],REGISTRO[[#This Row],[TOTAL]]+BALANCE_INICIAL)</f>
        <v>184120</v>
      </c>
      <c r="L8" s="77" t="s">
        <v>26</v>
      </c>
      <c r="M8" s="68" t="s">
        <v>43</v>
      </c>
    </row>
    <row r="9" spans="2:13" x14ac:dyDescent="0.4">
      <c r="C9" s="57" t="s">
        <v>42</v>
      </c>
      <c r="D9" s="58" t="s">
        <v>7</v>
      </c>
      <c r="F9" s="76">
        <v>45852</v>
      </c>
      <c r="G9" s="77" t="s">
        <v>2</v>
      </c>
      <c r="H9" s="77" t="s">
        <v>46</v>
      </c>
      <c r="I9" s="59">
        <v>5000</v>
      </c>
      <c r="J9" s="59">
        <f>IF(REGISTRO[[#This Row],[TYPE]]="EXPENSE",J8-REGISTRO[[#This Row],[TOTAL]],J8+REGISTRO[[#This Row],[TOTAL]])</f>
        <v>179120</v>
      </c>
      <c r="L9" s="78" t="s">
        <v>46</v>
      </c>
      <c r="M9" s="79" t="s">
        <v>23</v>
      </c>
    </row>
    <row r="10" spans="2:13" x14ac:dyDescent="0.4">
      <c r="C10" s="57" t="s">
        <v>16</v>
      </c>
      <c r="D10" s="59">
        <v>415000</v>
      </c>
      <c r="F10" s="76">
        <v>45852</v>
      </c>
      <c r="G10" s="77" t="s">
        <v>2</v>
      </c>
      <c r="H10" s="77" t="s">
        <v>46</v>
      </c>
      <c r="I10" s="59">
        <v>3500</v>
      </c>
      <c r="J10" s="59">
        <f>IF(REGISTRO[[#This Row],[TYPE]]="EXPENSE",J9-I10,J9+I10)</f>
        <v>175620</v>
      </c>
      <c r="L10" s="78" t="s">
        <v>46</v>
      </c>
      <c r="M10" s="79" t="s">
        <v>10</v>
      </c>
    </row>
    <row r="11" spans="2:13" x14ac:dyDescent="0.4">
      <c r="C11" s="57" t="s">
        <v>6</v>
      </c>
      <c r="D11" s="59">
        <v>0</v>
      </c>
      <c r="F11" s="76">
        <v>45852</v>
      </c>
      <c r="G11" s="77" t="s">
        <v>2</v>
      </c>
      <c r="H11" s="77" t="s">
        <v>46</v>
      </c>
      <c r="I11" s="59">
        <v>7000</v>
      </c>
      <c r="J11" s="59">
        <f>IF(REGISTRO[[#This Row],[TYPE]]="EXPENSE",J10-I11,J10+I11)</f>
        <v>168620</v>
      </c>
      <c r="L11" s="78" t="s">
        <v>46</v>
      </c>
      <c r="M11" s="79" t="s">
        <v>1</v>
      </c>
    </row>
    <row r="12" spans="2:13" x14ac:dyDescent="0.4">
      <c r="C12" s="57" t="s">
        <v>22</v>
      </c>
      <c r="D12" s="59">
        <v>0</v>
      </c>
      <c r="F12" s="76">
        <v>45852</v>
      </c>
      <c r="G12" s="77" t="s">
        <v>3</v>
      </c>
      <c r="H12" s="77" t="s">
        <v>37</v>
      </c>
      <c r="I12" s="59">
        <v>250000</v>
      </c>
      <c r="J12" s="59">
        <f>IF(REGISTRO[[#This Row],[TYPE]]="EXPENSE",J11-I12,J11+I12)</f>
        <v>418620</v>
      </c>
      <c r="L12" s="78" t="s">
        <v>46</v>
      </c>
      <c r="M12" s="79" t="s">
        <v>8</v>
      </c>
    </row>
    <row r="13" spans="2:13" x14ac:dyDescent="0.4">
      <c r="C13" s="57" t="s">
        <v>20</v>
      </c>
      <c r="D13" s="59">
        <v>0</v>
      </c>
      <c r="F13" s="76">
        <v>45854</v>
      </c>
      <c r="G13" s="77" t="s">
        <v>2</v>
      </c>
      <c r="H13" s="77" t="s">
        <v>46</v>
      </c>
      <c r="I13" s="59">
        <v>20000</v>
      </c>
      <c r="J13" s="59">
        <f>IF(REGISTRO[[#This Row],[TYPE]]="EXPENSE",J12-I13,J12+I13)</f>
        <v>398620</v>
      </c>
      <c r="L13" s="78" t="s">
        <v>46</v>
      </c>
      <c r="M13" s="79" t="s">
        <v>22</v>
      </c>
    </row>
    <row r="14" spans="2:13" x14ac:dyDescent="0.4">
      <c r="C14" s="57" t="s">
        <v>76</v>
      </c>
      <c r="D14" s="59">
        <v>403000</v>
      </c>
      <c r="F14" s="76">
        <v>45854</v>
      </c>
      <c r="G14" s="77" t="s">
        <v>23</v>
      </c>
      <c r="H14" s="77" t="s">
        <v>46</v>
      </c>
      <c r="I14" s="59">
        <v>22500</v>
      </c>
      <c r="J14" s="59">
        <f>IF(REGISTRO[[#This Row],[TYPE]]="EXPENSE",J13-I14,J13+I14)</f>
        <v>376120</v>
      </c>
      <c r="L14" s="78" t="s">
        <v>46</v>
      </c>
      <c r="M14" s="79" t="s">
        <v>9</v>
      </c>
    </row>
    <row r="15" spans="2:13" x14ac:dyDescent="0.4">
      <c r="C15" s="60"/>
      <c r="D15" s="61"/>
      <c r="F15" s="76">
        <v>45855</v>
      </c>
      <c r="G15" s="77" t="s">
        <v>1</v>
      </c>
      <c r="H15" s="77" t="s">
        <v>37</v>
      </c>
      <c r="I15" s="59">
        <v>40000</v>
      </c>
      <c r="J15" s="59">
        <f>IF(REGISTRO[[#This Row],[TYPE]]="EXPENSE",J14-I15,J14+I15)</f>
        <v>416120</v>
      </c>
      <c r="L15" s="78" t="s">
        <v>46</v>
      </c>
      <c r="M15" s="79" t="s">
        <v>2</v>
      </c>
    </row>
    <row r="16" spans="2:13" x14ac:dyDescent="0.4">
      <c r="B16" s="80"/>
      <c r="C16" s="62" t="s">
        <v>66</v>
      </c>
      <c r="D16" s="63">
        <f>SUBTOTAL(109,Tabla2516[BALANCE])</f>
        <v>818000</v>
      </c>
      <c r="F16" s="76">
        <v>45855</v>
      </c>
      <c r="G16" s="77" t="s">
        <v>2</v>
      </c>
      <c r="H16" s="77" t="s">
        <v>46</v>
      </c>
      <c r="I16" s="59">
        <v>8500</v>
      </c>
      <c r="J16" s="59">
        <f>IF(REGISTRO[[#This Row],[TYPE]]="EXPENSE",J15-I16,J15+I16)</f>
        <v>407620</v>
      </c>
      <c r="L16" s="81" t="s">
        <v>37</v>
      </c>
      <c r="M16" s="79" t="s">
        <v>24</v>
      </c>
    </row>
    <row r="17" spans="2:13" x14ac:dyDescent="0.4">
      <c r="B17" s="80"/>
      <c r="C17" s="64" t="s">
        <v>67</v>
      </c>
      <c r="D17" s="65" cm="1">
        <f t="array" ref="D17">INDEX(REGISTRO[],ROWS(REGISTRO[]),COLUMNS(REGISTRO[]))</f>
        <v>818000</v>
      </c>
      <c r="E17" s="82"/>
      <c r="F17" s="76">
        <v>45856</v>
      </c>
      <c r="G17" s="77" t="s">
        <v>23</v>
      </c>
      <c r="H17" s="77" t="s">
        <v>46</v>
      </c>
      <c r="I17" s="59">
        <v>22650</v>
      </c>
      <c r="J17" s="59">
        <f>IF(REGISTRO[[#This Row],[TYPE]]="EXPENSE",J16-I17,J16+I17)</f>
        <v>384970</v>
      </c>
      <c r="L17" s="81" t="s">
        <v>37</v>
      </c>
      <c r="M17" s="79" t="s">
        <v>11</v>
      </c>
    </row>
    <row r="18" spans="2:13" x14ac:dyDescent="0.4">
      <c r="B18" s="80"/>
      <c r="C18" s="64" t="s">
        <v>68</v>
      </c>
      <c r="D18" s="66" t="str">
        <f>IF(D17=Tabla2516[[#Totals],[BALANCE]],"SI","NO")</f>
        <v>SI</v>
      </c>
      <c r="F18" s="76">
        <v>45856</v>
      </c>
      <c r="G18" s="77" t="s">
        <v>22</v>
      </c>
      <c r="H18" s="77" t="s">
        <v>46</v>
      </c>
      <c r="I18" s="59">
        <v>3910</v>
      </c>
      <c r="J18" s="59">
        <f>IF(REGISTRO[[#This Row],[TYPE]]="EXPENSE",J17-I18,J17+I18)</f>
        <v>381060</v>
      </c>
      <c r="L18" s="81" t="s">
        <v>37</v>
      </c>
      <c r="M18" s="79" t="s">
        <v>3</v>
      </c>
    </row>
    <row r="19" spans="2:13" x14ac:dyDescent="0.4">
      <c r="C19" s="64" t="s">
        <v>69</v>
      </c>
      <c r="D19" s="65">
        <f>Tabla2516[[#Totals],[BALANCE]]-D17</f>
        <v>0</v>
      </c>
      <c r="F19" s="76">
        <v>45856</v>
      </c>
      <c r="G19" s="77" t="s">
        <v>1</v>
      </c>
      <c r="H19" s="77" t="s">
        <v>37</v>
      </c>
      <c r="I19" s="59">
        <v>105000</v>
      </c>
      <c r="J19" s="59">
        <f>IF(REGISTRO[[#This Row],[TYPE]]="EXPENSE",J18-I19,J18+I19)</f>
        <v>486060</v>
      </c>
      <c r="L19" s="77" t="s">
        <v>37</v>
      </c>
      <c r="M19" s="79" t="s">
        <v>21</v>
      </c>
    </row>
    <row r="20" spans="2:13" x14ac:dyDescent="0.4">
      <c r="E20" s="83"/>
      <c r="F20" s="76">
        <v>45859</v>
      </c>
      <c r="G20" s="77" t="s">
        <v>23</v>
      </c>
      <c r="H20" s="77" t="s">
        <v>37</v>
      </c>
      <c r="I20" s="59">
        <v>7000</v>
      </c>
      <c r="J20" s="59">
        <f>IF(REGISTRO[[#This Row],[TYPE]]="EXPENSE",J19-I20,J19+I20)</f>
        <v>493060</v>
      </c>
      <c r="L20" s="81" t="s">
        <v>37</v>
      </c>
      <c r="M20" s="79" t="s">
        <v>10</v>
      </c>
    </row>
    <row r="21" spans="2:13" x14ac:dyDescent="0.4">
      <c r="F21" s="76">
        <v>45859</v>
      </c>
      <c r="G21" s="77" t="s">
        <v>2</v>
      </c>
      <c r="H21" s="77" t="s">
        <v>46</v>
      </c>
      <c r="I21" s="59">
        <v>7000</v>
      </c>
      <c r="J21" s="59">
        <f>IF(REGISTRO[[#This Row],[TYPE]]="EXPENSE",J20-I21,J20+I21)</f>
        <v>486060</v>
      </c>
      <c r="L21" s="81" t="s">
        <v>37</v>
      </c>
      <c r="M21" s="79" t="s">
        <v>1</v>
      </c>
    </row>
    <row r="22" spans="2:13" x14ac:dyDescent="0.4">
      <c r="F22" s="76">
        <v>45859</v>
      </c>
      <c r="G22" s="77" t="s">
        <v>1</v>
      </c>
      <c r="H22" s="77" t="s">
        <v>37</v>
      </c>
      <c r="I22" s="84">
        <v>80000</v>
      </c>
      <c r="J22" s="59">
        <f>IF(REGISTRO[[#This Row],[TYPE]]="EXPENSE",J21-I22,J21+I22)</f>
        <v>566060</v>
      </c>
      <c r="L22" s="81" t="s">
        <v>46</v>
      </c>
      <c r="M22" s="79" t="s">
        <v>50</v>
      </c>
    </row>
    <row r="23" spans="2:13" x14ac:dyDescent="0.4">
      <c r="F23" s="76">
        <v>45860</v>
      </c>
      <c r="G23" s="77" t="s">
        <v>24</v>
      </c>
      <c r="H23" s="77" t="s">
        <v>37</v>
      </c>
      <c r="I23" s="59">
        <v>10000</v>
      </c>
      <c r="J23" s="59">
        <f>IF(REGISTRO[[#This Row],[TYPE]]="EXPENSE",J22-I23,J22+I23)</f>
        <v>576060</v>
      </c>
      <c r="L23" s="81" t="s">
        <v>46</v>
      </c>
      <c r="M23" s="79" t="s">
        <v>60</v>
      </c>
    </row>
    <row r="24" spans="2:13" x14ac:dyDescent="0.4">
      <c r="F24" s="76">
        <v>45860</v>
      </c>
      <c r="G24" s="77" t="s">
        <v>23</v>
      </c>
      <c r="H24" s="77" t="s">
        <v>46</v>
      </c>
      <c r="I24" s="59">
        <v>24600</v>
      </c>
      <c r="J24" s="59">
        <f>IF(REGISTRO[[#This Row],[TYPE]]="EXPENSE",J23-I24,J23+I24)</f>
        <v>551460</v>
      </c>
      <c r="L24" s="81" t="s">
        <v>46</v>
      </c>
      <c r="M24" s="79" t="s">
        <v>61</v>
      </c>
    </row>
    <row r="25" spans="2:13" x14ac:dyDescent="0.4">
      <c r="F25" s="76">
        <v>45861</v>
      </c>
      <c r="G25" s="77" t="s">
        <v>1</v>
      </c>
      <c r="H25" s="77" t="s">
        <v>37</v>
      </c>
      <c r="I25" s="59">
        <v>20000</v>
      </c>
      <c r="J25" s="59">
        <f>IF(REGISTRO[[#This Row],[TYPE]]="EXPENSE",J24-I25,J24+I25)</f>
        <v>571460</v>
      </c>
      <c r="L25" s="77"/>
    </row>
    <row r="26" spans="2:13" x14ac:dyDescent="0.4">
      <c r="F26" s="76">
        <v>45861</v>
      </c>
      <c r="G26" s="77" t="s">
        <v>8</v>
      </c>
      <c r="H26" s="77" t="s">
        <v>46</v>
      </c>
      <c r="I26" s="84">
        <v>10000</v>
      </c>
      <c r="J26" s="59">
        <f>IF(REGISTRO[[#This Row],[TYPE]]="EXPENSE",J25-I26,J25+I26)</f>
        <v>561460</v>
      </c>
      <c r="L26" s="77"/>
    </row>
    <row r="27" spans="2:13" x14ac:dyDescent="0.4">
      <c r="F27" s="76">
        <v>45861</v>
      </c>
      <c r="G27" s="77" t="s">
        <v>8</v>
      </c>
      <c r="H27" s="77" t="s">
        <v>46</v>
      </c>
      <c r="I27" s="84">
        <v>8000</v>
      </c>
      <c r="J27" s="59">
        <f>IF(REGISTRO[[#This Row],[TYPE]]="EXPENSE",J26-I27,J26+I27)</f>
        <v>553460</v>
      </c>
      <c r="L27" s="77"/>
    </row>
    <row r="28" spans="2:13" x14ac:dyDescent="0.4">
      <c r="F28" s="76">
        <v>45863</v>
      </c>
      <c r="G28" s="77" t="s">
        <v>9</v>
      </c>
      <c r="H28" s="77" t="s">
        <v>46</v>
      </c>
      <c r="I28" s="84">
        <v>155000</v>
      </c>
      <c r="J28" s="59">
        <f>IF(REGISTRO[[#This Row],[TYPE]]="EXPENSE",J27-I28,J27+I28)</f>
        <v>398460</v>
      </c>
      <c r="L28" s="77"/>
    </row>
    <row r="29" spans="2:13" x14ac:dyDescent="0.4">
      <c r="F29" s="76">
        <v>45863</v>
      </c>
      <c r="G29" s="77" t="s">
        <v>8</v>
      </c>
      <c r="H29" s="77" t="s">
        <v>46</v>
      </c>
      <c r="I29" s="84">
        <v>46000</v>
      </c>
      <c r="J29" s="59">
        <f>IF(REGISTRO[[#This Row],[TYPE]]="EXPENSE",J28-I29,J28+I29)</f>
        <v>352460</v>
      </c>
      <c r="L29" s="77"/>
    </row>
    <row r="30" spans="2:13" x14ac:dyDescent="0.4">
      <c r="F30" s="76">
        <v>45865</v>
      </c>
      <c r="G30" s="77" t="s">
        <v>2</v>
      </c>
      <c r="H30" s="77" t="s">
        <v>46</v>
      </c>
      <c r="I30" s="84">
        <v>37000</v>
      </c>
      <c r="J30" s="59">
        <f>IF(REGISTRO[[#This Row],[TYPE]]="EXPENSE",J29-I30,J29+I30)</f>
        <v>315460</v>
      </c>
      <c r="L30" s="77"/>
    </row>
    <row r="31" spans="2:13" x14ac:dyDescent="0.4">
      <c r="F31" s="76">
        <v>45866</v>
      </c>
      <c r="G31" s="77" t="s">
        <v>24</v>
      </c>
      <c r="H31" s="77" t="s">
        <v>37</v>
      </c>
      <c r="I31" s="84">
        <v>20000</v>
      </c>
      <c r="J31" s="59">
        <f>IF(REGISTRO[[#This Row],[TYPE]]="EXPENSE",J30-I31,J30+I31)</f>
        <v>335460</v>
      </c>
      <c r="L31" s="77"/>
    </row>
    <row r="32" spans="2:13" x14ac:dyDescent="0.4">
      <c r="F32" s="76">
        <v>45866</v>
      </c>
      <c r="G32" s="77" t="s">
        <v>2</v>
      </c>
      <c r="H32" s="77" t="s">
        <v>46</v>
      </c>
      <c r="I32" s="84">
        <v>10000</v>
      </c>
      <c r="J32" s="59">
        <f>IF(REGISTRO[[#This Row],[TYPE]]="EXPENSE",J31-I32,J31+I32)</f>
        <v>325460</v>
      </c>
      <c r="L32" s="77"/>
    </row>
    <row r="33" spans="6:12" x14ac:dyDescent="0.4">
      <c r="F33" s="76">
        <v>45866</v>
      </c>
      <c r="G33" s="77" t="s">
        <v>23</v>
      </c>
      <c r="H33" s="77" t="s">
        <v>46</v>
      </c>
      <c r="I33" s="84">
        <v>19900</v>
      </c>
      <c r="J33" s="59">
        <f>IF(REGISTRO[[#This Row],[TYPE]]="EXPENSE",J32-I33,J32+I33)</f>
        <v>305560</v>
      </c>
      <c r="L33" s="77"/>
    </row>
    <row r="34" spans="6:12" x14ac:dyDescent="0.4">
      <c r="F34" s="76">
        <v>45866</v>
      </c>
      <c r="G34" s="77" t="s">
        <v>10</v>
      </c>
      <c r="H34" s="77" t="s">
        <v>46</v>
      </c>
      <c r="I34" s="84">
        <f>560-285</f>
        <v>275</v>
      </c>
      <c r="J34" s="59">
        <f>IF(REGISTRO[[#This Row],[TYPE]]="EXPENSE",J33-I34,J33+I34)</f>
        <v>305285</v>
      </c>
      <c r="L34" s="77"/>
    </row>
    <row r="35" spans="6:12" x14ac:dyDescent="0.4">
      <c r="F35" s="76">
        <v>45867</v>
      </c>
      <c r="G35" s="77" t="s">
        <v>2</v>
      </c>
      <c r="H35" s="77" t="s">
        <v>46</v>
      </c>
      <c r="I35" s="84">
        <f>8500+8900</f>
        <v>17400</v>
      </c>
      <c r="J35" s="59">
        <f>IF(REGISTRO[[#This Row],[TYPE]]="EXPENSE",J34-I35,J34+I35)</f>
        <v>287885</v>
      </c>
      <c r="L35" s="77"/>
    </row>
    <row r="36" spans="6:12" x14ac:dyDescent="0.4">
      <c r="F36" s="76">
        <v>45870</v>
      </c>
      <c r="G36" s="77" t="s">
        <v>23</v>
      </c>
      <c r="H36" s="77" t="s">
        <v>46</v>
      </c>
      <c r="I36" s="84">
        <v>30000</v>
      </c>
      <c r="J36" s="59">
        <f>IF(REGISTRO[[#This Row],[TYPE]]="EXPENSE",J35-I36,J35+I36)</f>
        <v>257885</v>
      </c>
      <c r="L36" s="77"/>
    </row>
    <row r="37" spans="6:12" x14ac:dyDescent="0.4">
      <c r="F37" s="76">
        <v>45870</v>
      </c>
      <c r="G37" s="77" t="s">
        <v>11</v>
      </c>
      <c r="H37" s="77" t="s">
        <v>37</v>
      </c>
      <c r="I37" s="84">
        <v>60000</v>
      </c>
      <c r="J37" s="59">
        <f>IF(REGISTRO[[#This Row],[TYPE]]="EXPENSE",J36-I37,J36+I37)</f>
        <v>317885</v>
      </c>
      <c r="L37" s="77"/>
    </row>
    <row r="38" spans="6:12" x14ac:dyDescent="0.4">
      <c r="F38" s="76">
        <v>45870</v>
      </c>
      <c r="G38" s="77" t="s">
        <v>23</v>
      </c>
      <c r="H38" s="77" t="s">
        <v>46</v>
      </c>
      <c r="I38" s="84">
        <v>6000</v>
      </c>
      <c r="J38" s="59">
        <f>IF(REGISTRO[[#This Row],[TYPE]]="EXPENSE",J37-I38,J37+I38)</f>
        <v>311885</v>
      </c>
      <c r="L38" s="77"/>
    </row>
    <row r="39" spans="6:12" x14ac:dyDescent="0.4">
      <c r="F39" s="76">
        <v>45872</v>
      </c>
      <c r="G39" s="77" t="s">
        <v>24</v>
      </c>
      <c r="H39" s="77" t="s">
        <v>37</v>
      </c>
      <c r="I39" s="84">
        <v>25000</v>
      </c>
      <c r="J39" s="59">
        <f>IF(REGISTRO[[#This Row],[TYPE]]="EXPENSE",J38-I39,J38+I39)</f>
        <v>336885</v>
      </c>
      <c r="L39" s="77"/>
    </row>
    <row r="40" spans="6:12" x14ac:dyDescent="0.4">
      <c r="F40" s="76">
        <v>45873</v>
      </c>
      <c r="G40" s="77" t="s">
        <v>2</v>
      </c>
      <c r="H40" s="77" t="s">
        <v>46</v>
      </c>
      <c r="I40" s="84">
        <v>6000</v>
      </c>
      <c r="J40" s="59">
        <f>IF(REGISTRO[[#This Row],[TYPE]]="EXPENSE",J39-I40,J39+I40)</f>
        <v>330885</v>
      </c>
      <c r="L40" s="77"/>
    </row>
    <row r="41" spans="6:12" x14ac:dyDescent="0.4">
      <c r="F41" s="76">
        <v>45874</v>
      </c>
      <c r="G41" s="77" t="s">
        <v>23</v>
      </c>
      <c r="H41" s="77" t="s">
        <v>46</v>
      </c>
      <c r="I41" s="84">
        <v>27900</v>
      </c>
      <c r="J41" s="59">
        <f>IF(REGISTRO[[#This Row],[TYPE]]="EXPENSE",J40-I41,J40+I41)</f>
        <v>302985</v>
      </c>
      <c r="L41" s="77"/>
    </row>
    <row r="42" spans="6:12" x14ac:dyDescent="0.4">
      <c r="F42" s="76">
        <v>45874</v>
      </c>
      <c r="G42" s="77" t="s">
        <v>24</v>
      </c>
      <c r="H42" s="77" t="s">
        <v>37</v>
      </c>
      <c r="I42" s="84">
        <v>3000</v>
      </c>
      <c r="J42" s="59">
        <f>IF(REGISTRO[[#This Row],[TYPE]]="EXPENSE",J41-I42,J41+I42)</f>
        <v>305985</v>
      </c>
      <c r="L42" s="77"/>
    </row>
    <row r="43" spans="6:12" x14ac:dyDescent="0.4">
      <c r="F43" s="76">
        <v>45875</v>
      </c>
      <c r="G43" s="77" t="s">
        <v>8</v>
      </c>
      <c r="H43" s="77" t="s">
        <v>46</v>
      </c>
      <c r="I43" s="84">
        <v>43000</v>
      </c>
      <c r="J43" s="59">
        <f>IF(REGISTRO[[#This Row],[TYPE]]="EXPENSE",J42-I43,J42+I43)</f>
        <v>262985</v>
      </c>
      <c r="L43" s="77"/>
    </row>
    <row r="44" spans="6:12" x14ac:dyDescent="0.4">
      <c r="F44" s="76">
        <v>45876</v>
      </c>
      <c r="G44" s="77" t="s">
        <v>8</v>
      </c>
      <c r="H44" s="77" t="s">
        <v>46</v>
      </c>
      <c r="I44" s="84">
        <v>55000</v>
      </c>
      <c r="J44" s="59">
        <f>IF(REGISTRO[[#This Row],[TYPE]]="EXPENSE",J43-I44,J43+I44)</f>
        <v>207985</v>
      </c>
      <c r="L44" s="77"/>
    </row>
    <row r="45" spans="6:12" x14ac:dyDescent="0.4">
      <c r="F45" s="76">
        <v>45878</v>
      </c>
      <c r="G45" s="77" t="s">
        <v>23</v>
      </c>
      <c r="H45" s="77" t="s">
        <v>46</v>
      </c>
      <c r="I45" s="84">
        <v>23500</v>
      </c>
      <c r="J45" s="59">
        <f>IF(REGISTRO[[#This Row],[TYPE]]="EXPENSE",J44-I45,J44+I45)</f>
        <v>184485</v>
      </c>
      <c r="L45" s="77"/>
    </row>
    <row r="46" spans="6:12" x14ac:dyDescent="0.4">
      <c r="F46" s="76">
        <v>45878</v>
      </c>
      <c r="G46" s="77" t="s">
        <v>2</v>
      </c>
      <c r="H46" s="77" t="s">
        <v>46</v>
      </c>
      <c r="I46" s="84">
        <v>8000</v>
      </c>
      <c r="J46" s="59">
        <f>IF(REGISTRO[[#This Row],[TYPE]]="EXPENSE",J45-I46,J45+I46)</f>
        <v>176485</v>
      </c>
    </row>
    <row r="47" spans="6:12" x14ac:dyDescent="0.4">
      <c r="F47" s="76">
        <v>45878</v>
      </c>
      <c r="G47" s="77" t="s">
        <v>24</v>
      </c>
      <c r="H47" s="77" t="s">
        <v>37</v>
      </c>
      <c r="I47" s="84">
        <v>50000</v>
      </c>
      <c r="J47" s="59">
        <f>IF(REGISTRO[[#This Row],[TYPE]]="EXPENSE",J46-I47,J46+I47)</f>
        <v>226485</v>
      </c>
    </row>
    <row r="48" spans="6:12" x14ac:dyDescent="0.4">
      <c r="F48" s="76">
        <v>45878</v>
      </c>
      <c r="G48" s="77" t="s">
        <v>24</v>
      </c>
      <c r="H48" s="77" t="s">
        <v>37</v>
      </c>
      <c r="I48" s="84">
        <v>2000</v>
      </c>
      <c r="J48" s="59">
        <f>IF(REGISTRO[[#This Row],[TYPE]]="EXPENSE",J47-I48,J47+I48)</f>
        <v>228485</v>
      </c>
    </row>
    <row r="49" spans="6:10" x14ac:dyDescent="0.4">
      <c r="F49" s="76">
        <v>45880</v>
      </c>
      <c r="G49" s="77" t="s">
        <v>1</v>
      </c>
      <c r="H49" s="77" t="s">
        <v>37</v>
      </c>
      <c r="I49" s="84">
        <v>15000</v>
      </c>
      <c r="J49" s="59">
        <f>IF(REGISTRO[[#This Row],[TYPE]]="EXPENSE",J48-I49,J48+I49)</f>
        <v>243485</v>
      </c>
    </row>
    <row r="50" spans="6:10" x14ac:dyDescent="0.4">
      <c r="F50" s="76">
        <v>45887</v>
      </c>
      <c r="G50" s="77" t="s">
        <v>24</v>
      </c>
      <c r="H50" s="77" t="s">
        <v>37</v>
      </c>
      <c r="I50" s="84">
        <v>10020</v>
      </c>
      <c r="J50" s="59">
        <f>IF(REGISTRO[[#This Row],[TYPE]]="EXPENSE",J49-I50,J49+I50)</f>
        <v>253505</v>
      </c>
    </row>
    <row r="51" spans="6:10" x14ac:dyDescent="0.4">
      <c r="F51" s="76">
        <v>45887</v>
      </c>
      <c r="G51" s="77" t="s">
        <v>24</v>
      </c>
      <c r="H51" s="77" t="s">
        <v>37</v>
      </c>
      <c r="I51" s="84">
        <v>5701</v>
      </c>
      <c r="J51" s="59">
        <f>IF(REGISTRO[[#This Row],[TYPE]]="EXPENSE",J50-I51,J50+I51)</f>
        <v>259206</v>
      </c>
    </row>
    <row r="52" spans="6:10" x14ac:dyDescent="0.4">
      <c r="F52" s="76">
        <v>45887</v>
      </c>
      <c r="G52" s="77" t="s">
        <v>22</v>
      </c>
      <c r="H52" s="77" t="s">
        <v>46</v>
      </c>
      <c r="I52" s="84">
        <v>3900</v>
      </c>
      <c r="J52" s="59">
        <f>IF(REGISTRO[[#This Row],[TYPE]]="EXPENSE",J51-I52,J51+I52)</f>
        <v>255306</v>
      </c>
    </row>
    <row r="53" spans="6:10" x14ac:dyDescent="0.4">
      <c r="F53" s="76">
        <v>45887</v>
      </c>
      <c r="G53" s="77" t="s">
        <v>22</v>
      </c>
      <c r="H53" s="77" t="s">
        <v>46</v>
      </c>
      <c r="I53" s="84">
        <v>8500</v>
      </c>
      <c r="J53" s="59">
        <f>IF(REGISTRO[[#This Row],[TYPE]]="EXPENSE",J52-I53,J52+I53)</f>
        <v>246806</v>
      </c>
    </row>
    <row r="54" spans="6:10" x14ac:dyDescent="0.4">
      <c r="F54" s="76">
        <v>45887</v>
      </c>
      <c r="G54" s="77" t="s">
        <v>22</v>
      </c>
      <c r="H54" s="77" t="s">
        <v>46</v>
      </c>
      <c r="I54" s="84">
        <v>8990</v>
      </c>
      <c r="J54" s="59">
        <f>IF(REGISTRO[[#This Row],[TYPE]]="EXPENSE",J53-I54,J53+I54)</f>
        <v>237816</v>
      </c>
    </row>
    <row r="55" spans="6:10" x14ac:dyDescent="0.4">
      <c r="F55" s="76">
        <v>45887</v>
      </c>
      <c r="G55" s="77" t="s">
        <v>10</v>
      </c>
      <c r="H55" s="77" t="s">
        <v>46</v>
      </c>
      <c r="I55" s="84">
        <f>386-140</f>
        <v>246</v>
      </c>
      <c r="J55" s="59">
        <f>IF(REGISTRO[[#This Row],[TYPE]]="EXPENSE",J54-I55,J54+I55)</f>
        <v>237570</v>
      </c>
    </row>
    <row r="56" spans="6:10" x14ac:dyDescent="0.4">
      <c r="F56" s="76">
        <v>45889</v>
      </c>
      <c r="G56" s="77" t="s">
        <v>24</v>
      </c>
      <c r="H56" s="77" t="s">
        <v>37</v>
      </c>
      <c r="I56" s="84">
        <v>20000</v>
      </c>
      <c r="J56" s="59">
        <f>IF(REGISTRO[[#This Row],[TYPE]]="EXPENSE",J55-I56,J55+I56)</f>
        <v>257570</v>
      </c>
    </row>
    <row r="57" spans="6:10" x14ac:dyDescent="0.4">
      <c r="F57" s="76">
        <v>45889</v>
      </c>
      <c r="G57" s="77" t="s">
        <v>23</v>
      </c>
      <c r="H57" s="77" t="s">
        <v>46</v>
      </c>
      <c r="I57" s="84">
        <v>7500</v>
      </c>
      <c r="J57" s="59">
        <f>IF(REGISTRO[[#This Row],[TYPE]]="EXPENSE",J56-I57,J56+I57)</f>
        <v>250070</v>
      </c>
    </row>
    <row r="58" spans="6:10" x14ac:dyDescent="0.4">
      <c r="F58" s="76">
        <v>45889</v>
      </c>
      <c r="G58" s="77" t="s">
        <v>8</v>
      </c>
      <c r="H58" s="77" t="s">
        <v>46</v>
      </c>
      <c r="I58" s="84">
        <v>12500</v>
      </c>
      <c r="J58" s="59">
        <f>IF(REGISTRO[[#This Row],[TYPE]]="EXPENSE",J57-I58,J57+I58)</f>
        <v>237570</v>
      </c>
    </row>
    <row r="59" spans="6:10" x14ac:dyDescent="0.4">
      <c r="F59" s="76">
        <v>45890</v>
      </c>
      <c r="G59" s="77" t="s">
        <v>24</v>
      </c>
      <c r="H59" s="77" t="s">
        <v>37</v>
      </c>
      <c r="I59" s="84">
        <v>50000</v>
      </c>
      <c r="J59" s="59">
        <f>IF(REGISTRO[[#This Row],[TYPE]]="EXPENSE",J58-I59,J58+I59)</f>
        <v>287570</v>
      </c>
    </row>
    <row r="60" spans="6:10" x14ac:dyDescent="0.4">
      <c r="F60" s="76">
        <v>45890</v>
      </c>
      <c r="G60" s="77" t="s">
        <v>23</v>
      </c>
      <c r="H60" s="77" t="s">
        <v>46</v>
      </c>
      <c r="I60" s="84">
        <v>49530</v>
      </c>
      <c r="J60" s="59">
        <f>IF(REGISTRO[[#This Row],[TYPE]]="EXPENSE",J59-I60,J59+I60)</f>
        <v>238040</v>
      </c>
    </row>
    <row r="61" spans="6:10" x14ac:dyDescent="0.4">
      <c r="F61" s="76">
        <v>45893</v>
      </c>
      <c r="G61" s="77" t="s">
        <v>24</v>
      </c>
      <c r="H61" s="77" t="s">
        <v>37</v>
      </c>
      <c r="I61" s="84">
        <v>22000</v>
      </c>
      <c r="J61" s="59">
        <f>IF(REGISTRO[[#This Row],[TYPE]]="EXPENSE",J60-I61,J60+I61)</f>
        <v>260040</v>
      </c>
    </row>
    <row r="62" spans="6:10" x14ac:dyDescent="0.4">
      <c r="F62" s="76">
        <v>45893</v>
      </c>
      <c r="G62" s="77" t="s">
        <v>3</v>
      </c>
      <c r="H62" s="77" t="s">
        <v>37</v>
      </c>
      <c r="I62" s="84">
        <v>125000</v>
      </c>
      <c r="J62" s="59">
        <f>IF(REGISTRO[[#This Row],[TYPE]]="EXPENSE",J61-I62,J61+I62)</f>
        <v>385040</v>
      </c>
    </row>
    <row r="63" spans="6:10" x14ac:dyDescent="0.4">
      <c r="F63" s="76">
        <v>45893</v>
      </c>
      <c r="G63" s="77" t="s">
        <v>2</v>
      </c>
      <c r="H63" s="77" t="s">
        <v>46</v>
      </c>
      <c r="I63" s="84">
        <v>32000</v>
      </c>
      <c r="J63" s="59">
        <f>IF(REGISTRO[[#This Row],[TYPE]]="EXPENSE",J62-I63,J62+I63)</f>
        <v>353040</v>
      </c>
    </row>
    <row r="64" spans="6:10" x14ac:dyDescent="0.4">
      <c r="F64" s="76">
        <v>45893</v>
      </c>
      <c r="G64" s="77" t="s">
        <v>10</v>
      </c>
      <c r="H64" s="77" t="s">
        <v>37</v>
      </c>
      <c r="I64" s="84">
        <v>100</v>
      </c>
      <c r="J64" s="59">
        <f>IF(REGISTRO[[#This Row],[TYPE]]="EXPENSE",J63-I64,J63+I64)</f>
        <v>353140</v>
      </c>
    </row>
    <row r="65" spans="6:10" x14ac:dyDescent="0.4">
      <c r="F65" s="76">
        <v>45894</v>
      </c>
      <c r="G65" s="77" t="s">
        <v>24</v>
      </c>
      <c r="H65" s="77" t="s">
        <v>37</v>
      </c>
      <c r="I65" s="84">
        <v>4000</v>
      </c>
      <c r="J65" s="59">
        <f>IF(REGISTRO[[#This Row],[TYPE]]="EXPENSE",J64-I65,J64+I65)</f>
        <v>357140</v>
      </c>
    </row>
    <row r="66" spans="6:10" x14ac:dyDescent="0.4">
      <c r="F66" s="76">
        <v>45896</v>
      </c>
      <c r="G66" s="77" t="s">
        <v>24</v>
      </c>
      <c r="H66" s="77" t="s">
        <v>37</v>
      </c>
      <c r="I66" s="84">
        <v>4000</v>
      </c>
      <c r="J66" s="59">
        <f>IF(REGISTRO[[#This Row],[TYPE]]="EXPENSE",J65-I66,J65+I66)</f>
        <v>361140</v>
      </c>
    </row>
    <row r="67" spans="6:10" x14ac:dyDescent="0.4">
      <c r="F67" s="76">
        <v>45901</v>
      </c>
      <c r="G67" s="77" t="s">
        <v>3</v>
      </c>
      <c r="H67" s="77" t="s">
        <v>37</v>
      </c>
      <c r="I67" s="84">
        <v>250000</v>
      </c>
      <c r="J67" s="59">
        <f>IF(REGISTRO[[#This Row],[TYPE]]="EXPENSE",J66-I67,J66+I67)</f>
        <v>611140</v>
      </c>
    </row>
    <row r="68" spans="6:10" x14ac:dyDescent="0.4">
      <c r="F68" s="76">
        <v>45901</v>
      </c>
      <c r="G68" s="77" t="s">
        <v>2</v>
      </c>
      <c r="H68" s="77" t="s">
        <v>46</v>
      </c>
      <c r="I68" s="84">
        <v>33000</v>
      </c>
      <c r="J68" s="59">
        <f>IF(REGISTRO[[#This Row],[TYPE]]="EXPENSE",J67-I68,J67+I68)</f>
        <v>578140</v>
      </c>
    </row>
    <row r="69" spans="6:10" x14ac:dyDescent="0.4">
      <c r="F69" s="76">
        <v>45901</v>
      </c>
      <c r="G69" s="77" t="s">
        <v>8</v>
      </c>
      <c r="H69" s="77" t="s">
        <v>46</v>
      </c>
      <c r="I69" s="84">
        <v>20000</v>
      </c>
      <c r="J69" s="59">
        <f>IF(REGISTRO[[#This Row],[TYPE]]="EXPENSE",J68-I69,J68+I69)</f>
        <v>558140</v>
      </c>
    </row>
    <row r="70" spans="6:10" x14ac:dyDescent="0.4">
      <c r="F70" s="76">
        <v>45901</v>
      </c>
      <c r="G70" s="77" t="s">
        <v>21</v>
      </c>
      <c r="H70" s="77" t="s">
        <v>37</v>
      </c>
      <c r="I70" s="84">
        <v>60000</v>
      </c>
      <c r="J70" s="59">
        <f>IF(REGISTRO[[#This Row],[TYPE]]="EXPENSE",J69-I70,J69+I70)</f>
        <v>618140</v>
      </c>
    </row>
    <row r="71" spans="6:10" x14ac:dyDescent="0.4">
      <c r="F71" s="76">
        <v>45901</v>
      </c>
      <c r="G71" s="77" t="s">
        <v>24</v>
      </c>
      <c r="H71" s="77" t="s">
        <v>37</v>
      </c>
      <c r="I71" s="84">
        <v>4000</v>
      </c>
      <c r="J71" s="59">
        <f>IF(REGISTRO[[#This Row],[TYPE]]="EXPENSE",J70-I71,J70+I71)</f>
        <v>622140</v>
      </c>
    </row>
    <row r="72" spans="6:10" x14ac:dyDescent="0.4">
      <c r="F72" s="76">
        <v>45901</v>
      </c>
      <c r="G72" s="77" t="s">
        <v>23</v>
      </c>
      <c r="H72" s="77" t="s">
        <v>46</v>
      </c>
      <c r="I72" s="84">
        <v>5000</v>
      </c>
      <c r="J72" s="59">
        <f>IF(REGISTRO[[#This Row],[TYPE]]="EXPENSE",J71-I72,J71+I72)</f>
        <v>617140</v>
      </c>
    </row>
    <row r="73" spans="6:10" x14ac:dyDescent="0.4">
      <c r="F73" s="76">
        <v>45902</v>
      </c>
      <c r="G73" s="77" t="s">
        <v>24</v>
      </c>
      <c r="H73" s="77" t="s">
        <v>37</v>
      </c>
      <c r="I73" s="84">
        <v>40</v>
      </c>
      <c r="J73" s="84">
        <f>IF(REGISTRO[[#This Row],[TYPE]]="EXPENSE",J72-I73,J72+I73)</f>
        <v>617180</v>
      </c>
    </row>
    <row r="74" spans="6:10" x14ac:dyDescent="0.4">
      <c r="F74" s="76">
        <v>45902</v>
      </c>
      <c r="G74" s="77" t="s">
        <v>8</v>
      </c>
      <c r="H74" s="77" t="s">
        <v>46</v>
      </c>
      <c r="I74" s="84">
        <v>107500</v>
      </c>
      <c r="J74" s="84">
        <f>IF(REGISTRO[[#This Row],[TYPE]]="EXPENSE",J73-I74,J73+I74)</f>
        <v>509680</v>
      </c>
    </row>
    <row r="75" spans="6:10" x14ac:dyDescent="0.4">
      <c r="F75" s="76">
        <v>45903</v>
      </c>
      <c r="G75" s="77" t="s">
        <v>24</v>
      </c>
      <c r="H75" s="77" t="s">
        <v>37</v>
      </c>
      <c r="I75" s="84">
        <v>4000</v>
      </c>
      <c r="J75" s="84">
        <f>IF(REGISTRO[[#This Row],[TYPE]]="EXPENSE",J74-I75,J74+I75)</f>
        <v>513680</v>
      </c>
    </row>
    <row r="76" spans="6:10" x14ac:dyDescent="0.4">
      <c r="F76" s="76">
        <v>45904</v>
      </c>
      <c r="G76" s="77" t="s">
        <v>8</v>
      </c>
      <c r="H76" s="77" t="s">
        <v>46</v>
      </c>
      <c r="I76" s="84">
        <v>16000</v>
      </c>
      <c r="J76" s="84">
        <f>IF(REGISTRO[[#This Row],[TYPE]]="EXPENSE",J75-I76,J75+I76)</f>
        <v>497680</v>
      </c>
    </row>
    <row r="77" spans="6:10" x14ac:dyDescent="0.4">
      <c r="F77" s="76">
        <v>45906</v>
      </c>
      <c r="G77" s="77" t="s">
        <v>24</v>
      </c>
      <c r="H77" s="77" t="s">
        <v>46</v>
      </c>
      <c r="I77" s="84">
        <v>210</v>
      </c>
      <c r="J77" s="84">
        <f>IF(REGISTRO[[#This Row],[TYPE]]="EXPENSE",J76-I77,J76+I77)</f>
        <v>497470</v>
      </c>
    </row>
    <row r="78" spans="6:10" x14ac:dyDescent="0.4">
      <c r="F78" s="76">
        <v>45906</v>
      </c>
      <c r="G78" s="77" t="s">
        <v>24</v>
      </c>
      <c r="H78" s="77" t="s">
        <v>37</v>
      </c>
      <c r="I78" s="84">
        <v>420</v>
      </c>
      <c r="J78" s="84">
        <f>IF(REGISTRO[[#This Row],[TYPE]]="EXPENSE",J77-I78,J77+I78)</f>
        <v>497890</v>
      </c>
    </row>
    <row r="79" spans="6:10" x14ac:dyDescent="0.4">
      <c r="F79" s="76">
        <v>45910</v>
      </c>
      <c r="G79" s="77" t="s">
        <v>24</v>
      </c>
      <c r="H79" s="77" t="s">
        <v>37</v>
      </c>
      <c r="I79" s="84">
        <v>8000</v>
      </c>
      <c r="J79" s="84">
        <f>IF(REGISTRO[[#This Row],[TYPE]]="EXPENSE",J78-I79,J78+I79)</f>
        <v>505890</v>
      </c>
    </row>
    <row r="80" spans="6:10" x14ac:dyDescent="0.4">
      <c r="F80" s="76">
        <v>45910</v>
      </c>
      <c r="G80" s="77" t="s">
        <v>24</v>
      </c>
      <c r="H80" s="77" t="s">
        <v>37</v>
      </c>
      <c r="I80" s="84">
        <v>1000</v>
      </c>
      <c r="J80" s="84">
        <f>IF(REGISTRO[[#This Row],[TYPE]]="EXPENSE",J79-I80,J79+I80)</f>
        <v>506890</v>
      </c>
    </row>
    <row r="81" spans="6:10" x14ac:dyDescent="0.4">
      <c r="F81" s="76">
        <v>45912</v>
      </c>
      <c r="G81" s="77" t="s">
        <v>23</v>
      </c>
      <c r="H81" s="77" t="s">
        <v>46</v>
      </c>
      <c r="I81" s="84">
        <v>3300</v>
      </c>
      <c r="J81" s="84">
        <f>IF(REGISTRO[[#This Row],[TYPE]]="EXPENSE",J80-I81,J80+I81)</f>
        <v>503590</v>
      </c>
    </row>
    <row r="82" spans="6:10" x14ac:dyDescent="0.4">
      <c r="F82" s="76">
        <v>45913</v>
      </c>
      <c r="G82" s="77" t="s">
        <v>23</v>
      </c>
      <c r="H82" s="77" t="s">
        <v>46</v>
      </c>
      <c r="I82" s="84">
        <v>500</v>
      </c>
      <c r="J82" s="84">
        <f>IF(REGISTRO[[#This Row],[TYPE]]="EXPENSE",J81-I82,J81+I82)</f>
        <v>503090</v>
      </c>
    </row>
    <row r="83" spans="6:10" x14ac:dyDescent="0.4">
      <c r="F83" s="76">
        <v>45914</v>
      </c>
      <c r="G83" s="77" t="s">
        <v>24</v>
      </c>
      <c r="H83" s="77" t="s">
        <v>37</v>
      </c>
      <c r="I83" s="84">
        <v>2000</v>
      </c>
      <c r="J83" s="84">
        <f>IF(REGISTRO[[#This Row],[TYPE]]="EXPENSE",J82-I83,J82+I83)</f>
        <v>505090</v>
      </c>
    </row>
    <row r="84" spans="6:10" x14ac:dyDescent="0.4">
      <c r="F84" s="76">
        <v>45914</v>
      </c>
      <c r="G84" s="77" t="s">
        <v>22</v>
      </c>
      <c r="H84" s="77" t="s">
        <v>46</v>
      </c>
      <c r="I84" s="84">
        <v>17490</v>
      </c>
      <c r="J84" s="84">
        <f>IF(REGISTRO[[#This Row],[TYPE]]="EXPENSE",J83-I84,J83+I84)</f>
        <v>487600</v>
      </c>
    </row>
    <row r="85" spans="6:10" x14ac:dyDescent="0.4">
      <c r="F85" s="76">
        <v>45914</v>
      </c>
      <c r="G85" s="77" t="s">
        <v>2</v>
      </c>
      <c r="H85" s="77" t="s">
        <v>46</v>
      </c>
      <c r="I85" s="84">
        <v>4700</v>
      </c>
      <c r="J85" s="84">
        <f>IF(REGISTRO[[#This Row],[TYPE]]="EXPENSE",J84-I85,J84+I85)</f>
        <v>482900</v>
      </c>
    </row>
    <row r="86" spans="6:10" x14ac:dyDescent="0.4">
      <c r="F86" s="76">
        <v>45916</v>
      </c>
      <c r="G86" s="77" t="s">
        <v>24</v>
      </c>
      <c r="H86" s="77" t="s">
        <v>37</v>
      </c>
      <c r="I86" s="84">
        <v>4000</v>
      </c>
      <c r="J86" s="84">
        <f>IF(REGISTRO[[#This Row],[TYPE]]="EXPENSE",J85-I86,J85+I86)</f>
        <v>486900</v>
      </c>
    </row>
    <row r="87" spans="6:10" x14ac:dyDescent="0.4">
      <c r="F87" s="76">
        <v>45916</v>
      </c>
      <c r="G87" s="77" t="s">
        <v>2</v>
      </c>
      <c r="H87" s="77" t="s">
        <v>46</v>
      </c>
      <c r="I87" s="84">
        <v>4000</v>
      </c>
      <c r="J87" s="84">
        <f>IF(REGISTRO[[#This Row],[TYPE]]="EXPENSE",J86-I87,J86+I87)</f>
        <v>482900</v>
      </c>
    </row>
    <row r="88" spans="6:10" x14ac:dyDescent="0.4">
      <c r="F88" s="76">
        <v>45917</v>
      </c>
      <c r="G88" s="77" t="s">
        <v>24</v>
      </c>
      <c r="H88" s="77" t="s">
        <v>37</v>
      </c>
      <c r="I88" s="84">
        <v>4000</v>
      </c>
      <c r="J88" s="84">
        <f>IF(REGISTRO[[#This Row],[TYPE]]="EXPENSE",J87-I88,J87+I88)</f>
        <v>486900</v>
      </c>
    </row>
    <row r="89" spans="6:10" x14ac:dyDescent="0.4">
      <c r="F89" s="76">
        <v>45917</v>
      </c>
      <c r="G89" s="77" t="s">
        <v>22</v>
      </c>
      <c r="H89" s="77" t="s">
        <v>46</v>
      </c>
      <c r="I89" s="84">
        <v>3900</v>
      </c>
      <c r="J89" s="84">
        <f>IF(REGISTRO[[#This Row],[TYPE]]="EXPENSE",J88-I89,J88+I89)</f>
        <v>483000</v>
      </c>
    </row>
    <row r="90" spans="6:10" x14ac:dyDescent="0.4">
      <c r="F90" s="76">
        <v>45917</v>
      </c>
      <c r="G90" s="77" t="s">
        <v>2</v>
      </c>
      <c r="H90" s="77" t="s">
        <v>46</v>
      </c>
      <c r="I90" s="84">
        <v>4000</v>
      </c>
      <c r="J90" s="84">
        <f>IF(REGISTRO[[#This Row],[TYPE]]="EXPENSE",J89-I90,J89+I90)</f>
        <v>479000</v>
      </c>
    </row>
    <row r="91" spans="6:10" x14ac:dyDescent="0.4">
      <c r="F91" s="76">
        <v>45917</v>
      </c>
      <c r="G91" s="77" t="s">
        <v>24</v>
      </c>
      <c r="H91" s="77" t="s">
        <v>37</v>
      </c>
      <c r="I91" s="84">
        <v>1000</v>
      </c>
      <c r="J91" s="84">
        <f>IF(REGISTRO[[#This Row],[TYPE]]="EXPENSE",J90-I91,J90+I91)</f>
        <v>480000</v>
      </c>
    </row>
    <row r="92" spans="6:10" x14ac:dyDescent="0.4">
      <c r="F92" s="76">
        <v>45919</v>
      </c>
      <c r="G92" s="77" t="s">
        <v>3</v>
      </c>
      <c r="H92" s="77" t="s">
        <v>37</v>
      </c>
      <c r="I92" s="84">
        <v>250000</v>
      </c>
      <c r="J92" s="84">
        <f>IF(REGISTRO[[#This Row],[TYPE]]="EXPENSE",J91-I92,J91+I92)</f>
        <v>730000</v>
      </c>
    </row>
    <row r="93" spans="6:10" x14ac:dyDescent="0.4">
      <c r="F93" s="76">
        <v>45919</v>
      </c>
      <c r="G93" s="77" t="s">
        <v>24</v>
      </c>
      <c r="H93" s="77" t="s">
        <v>37</v>
      </c>
      <c r="I93" s="84">
        <v>15000</v>
      </c>
      <c r="J93" s="84">
        <f>IF(REGISTRO[[#This Row],[TYPE]]="EXPENSE",J92-I93,J92+I93)</f>
        <v>745000</v>
      </c>
    </row>
    <row r="94" spans="6:10" x14ac:dyDescent="0.4">
      <c r="F94" s="76">
        <v>45919</v>
      </c>
      <c r="G94" s="77" t="s">
        <v>2</v>
      </c>
      <c r="H94" s="77" t="s">
        <v>46</v>
      </c>
      <c r="I94" s="84">
        <v>22000</v>
      </c>
      <c r="J94" s="84">
        <f>IF(REGISTRO[[#This Row],[TYPE]]="EXPENSE",J93-I94,J93+I94)</f>
        <v>723000</v>
      </c>
    </row>
    <row r="95" spans="6:10" x14ac:dyDescent="0.4">
      <c r="F95" s="76">
        <v>45919</v>
      </c>
      <c r="G95" s="77" t="s">
        <v>24</v>
      </c>
      <c r="H95" s="77" t="s">
        <v>37</v>
      </c>
      <c r="I95" s="84">
        <v>93</v>
      </c>
      <c r="J95" s="84">
        <f>IF(REGISTRO[[#This Row],[TYPE]]="EXPENSE",J94-I95,J94+I95)</f>
        <v>723093</v>
      </c>
    </row>
    <row r="96" spans="6:10" x14ac:dyDescent="0.4">
      <c r="F96" s="76">
        <v>45922</v>
      </c>
      <c r="G96" s="77" t="s">
        <v>24</v>
      </c>
      <c r="H96" s="77" t="s">
        <v>37</v>
      </c>
      <c r="I96" s="84">
        <v>4000</v>
      </c>
      <c r="J96" s="84">
        <f>IF(REGISTRO[[#This Row],[TYPE]]="EXPENSE",J95-I96,J95+I96)</f>
        <v>727093</v>
      </c>
    </row>
    <row r="97" spans="6:10" x14ac:dyDescent="0.4">
      <c r="F97" s="76">
        <v>45922</v>
      </c>
      <c r="G97" s="77" t="s">
        <v>2</v>
      </c>
      <c r="H97" s="77" t="s">
        <v>46</v>
      </c>
      <c r="I97" s="84">
        <v>4000</v>
      </c>
      <c r="J97" s="84">
        <f>IF(REGISTRO[[#This Row],[TYPE]]="EXPENSE",J96-I97,J96+I97)</f>
        <v>723093</v>
      </c>
    </row>
    <row r="98" spans="6:10" x14ac:dyDescent="0.4">
      <c r="F98" s="76">
        <v>45924</v>
      </c>
      <c r="G98" s="77" t="s">
        <v>24</v>
      </c>
      <c r="H98" s="77" t="s">
        <v>37</v>
      </c>
      <c r="I98" s="84">
        <v>4000</v>
      </c>
      <c r="J98" s="84">
        <f>IF(REGISTRO[[#This Row],[TYPE]]="EXPENSE",J97-I98,J97+I98)</f>
        <v>727093</v>
      </c>
    </row>
    <row r="99" spans="6:10" x14ac:dyDescent="0.4">
      <c r="F99" s="76">
        <v>45925</v>
      </c>
      <c r="G99" s="77" t="s">
        <v>23</v>
      </c>
      <c r="H99" s="77" t="s">
        <v>46</v>
      </c>
      <c r="I99" s="84">
        <v>6500</v>
      </c>
      <c r="J99" s="84">
        <f>IF(REGISTRO[[#This Row],[TYPE]]="EXPENSE",J98-I99,J98+I99)</f>
        <v>720593</v>
      </c>
    </row>
    <row r="100" spans="6:10" x14ac:dyDescent="0.4">
      <c r="F100" s="76">
        <v>45926</v>
      </c>
      <c r="G100" s="77" t="s">
        <v>24</v>
      </c>
      <c r="H100" s="77" t="s">
        <v>37</v>
      </c>
      <c r="I100" s="84">
        <v>120000</v>
      </c>
      <c r="J100" s="84">
        <f>IF(REGISTRO[[#This Row],[TYPE]]="EXPENSE",J99-I100,J99+I100)</f>
        <v>840593</v>
      </c>
    </row>
    <row r="101" spans="6:10" x14ac:dyDescent="0.4">
      <c r="F101" s="76">
        <v>45926</v>
      </c>
      <c r="G101" s="77" t="s">
        <v>8</v>
      </c>
      <c r="H101" s="77" t="s">
        <v>46</v>
      </c>
      <c r="I101" s="84">
        <v>44656</v>
      </c>
      <c r="J101" s="84">
        <f>IF(REGISTRO[[#This Row],[TYPE]]="EXPENSE",J100-I101,J100+I101)</f>
        <v>795937</v>
      </c>
    </row>
    <row r="102" spans="6:10" x14ac:dyDescent="0.4">
      <c r="F102" s="76">
        <v>45926</v>
      </c>
      <c r="G102" s="77" t="s">
        <v>10</v>
      </c>
      <c r="H102" s="77" t="s">
        <v>46</v>
      </c>
      <c r="I102" s="84">
        <v>3000</v>
      </c>
      <c r="J102" s="84">
        <f>IF(REGISTRO[[#This Row],[TYPE]]="EXPENSE",J101-I102,J101+I102)</f>
        <v>792937</v>
      </c>
    </row>
    <row r="103" spans="6:10" x14ac:dyDescent="0.4">
      <c r="F103" s="76">
        <v>45934</v>
      </c>
      <c r="G103" s="77" t="s">
        <v>23</v>
      </c>
      <c r="H103" s="77" t="s">
        <v>46</v>
      </c>
      <c r="I103" s="84">
        <v>49000</v>
      </c>
      <c r="J103" s="84">
        <f>IF(REGISTRO[[#This Row],[TYPE]]="EXPENSE",J102-I103,J102+I103)</f>
        <v>743937</v>
      </c>
    </row>
    <row r="104" spans="6:10" x14ac:dyDescent="0.4">
      <c r="F104" s="76">
        <v>45934</v>
      </c>
      <c r="G104" s="77" t="s">
        <v>2</v>
      </c>
      <c r="H104" s="77" t="s">
        <v>46</v>
      </c>
      <c r="I104" s="84">
        <v>24500</v>
      </c>
      <c r="J104" s="84">
        <f>IF(REGISTRO[[#This Row],[TYPE]]="EXPENSE",J103-I104,J103+I104)</f>
        <v>719437</v>
      </c>
    </row>
    <row r="105" spans="6:10" x14ac:dyDescent="0.4">
      <c r="F105" s="76">
        <v>45934</v>
      </c>
      <c r="G105" s="77" t="s">
        <v>24</v>
      </c>
      <c r="H105" s="77" t="s">
        <v>37</v>
      </c>
      <c r="I105" s="84">
        <v>4000</v>
      </c>
      <c r="J105" s="84">
        <f>IF(REGISTRO[[#This Row],[TYPE]]="EXPENSE",J104-I105,J104+I105)</f>
        <v>723437</v>
      </c>
    </row>
    <row r="106" spans="6:10" x14ac:dyDescent="0.4">
      <c r="F106" s="76">
        <v>45934</v>
      </c>
      <c r="G106" s="77" t="s">
        <v>3</v>
      </c>
      <c r="H106" s="77" t="s">
        <v>37</v>
      </c>
      <c r="I106" s="84">
        <v>250</v>
      </c>
      <c r="J106" s="84">
        <f>IF(REGISTRO[[#This Row],[TYPE]]="EXPENSE",J105-I106,J105+I106)</f>
        <v>723687</v>
      </c>
    </row>
    <row r="107" spans="6:10" x14ac:dyDescent="0.4">
      <c r="F107" s="76">
        <v>45934</v>
      </c>
      <c r="G107" s="77" t="s">
        <v>3</v>
      </c>
      <c r="H107" s="77" t="s">
        <v>37</v>
      </c>
      <c r="I107" s="84">
        <v>249750</v>
      </c>
      <c r="J107" s="84">
        <f>IF(REGISTRO[[#This Row],[TYPE]]="EXPENSE",J106-I107,J106+I107)</f>
        <v>973437</v>
      </c>
    </row>
    <row r="108" spans="6:10" x14ac:dyDescent="0.4">
      <c r="F108" s="76">
        <v>45934</v>
      </c>
      <c r="G108" s="77" t="s">
        <v>2</v>
      </c>
      <c r="H108" s="77" t="s">
        <v>46</v>
      </c>
      <c r="I108" s="84">
        <v>4000</v>
      </c>
      <c r="J108" s="84">
        <f>IF(REGISTRO[[#This Row],[TYPE]]="EXPENSE",J107-I108,J107+I108)</f>
        <v>969437</v>
      </c>
    </row>
    <row r="109" spans="6:10" x14ac:dyDescent="0.4">
      <c r="F109" s="76">
        <v>45934</v>
      </c>
      <c r="G109" s="77" t="s">
        <v>50</v>
      </c>
      <c r="H109" s="77" t="s">
        <v>46</v>
      </c>
      <c r="I109" s="84">
        <v>30000</v>
      </c>
      <c r="J109" s="84">
        <f>IF(REGISTRO[[#This Row],[TYPE]]="EXPENSE",J108-I109,J108+I109)</f>
        <v>939437</v>
      </c>
    </row>
    <row r="110" spans="6:10" x14ac:dyDescent="0.4">
      <c r="F110" s="76">
        <v>45935</v>
      </c>
      <c r="G110" s="77" t="s">
        <v>23</v>
      </c>
      <c r="H110" s="77" t="s">
        <v>46</v>
      </c>
      <c r="I110" s="84">
        <v>15600</v>
      </c>
      <c r="J110" s="84">
        <f>IF(REGISTRO[[#This Row],[TYPE]]="EXPENSE",J109-I110,J109+I110)</f>
        <v>923837</v>
      </c>
    </row>
    <row r="111" spans="6:10" x14ac:dyDescent="0.4">
      <c r="F111" s="76">
        <v>45944</v>
      </c>
      <c r="G111" s="77" t="s">
        <v>50</v>
      </c>
      <c r="H111" s="77" t="s">
        <v>46</v>
      </c>
      <c r="I111" s="84">
        <v>49000</v>
      </c>
      <c r="J111" s="84">
        <f>IF(REGISTRO[[#This Row],[TYPE]]="EXPENSE",J110-I111,J110+I111)</f>
        <v>874837</v>
      </c>
    </row>
    <row r="112" spans="6:10" x14ac:dyDescent="0.4">
      <c r="F112" s="76">
        <v>45944</v>
      </c>
      <c r="G112" s="77" t="s">
        <v>24</v>
      </c>
      <c r="H112" s="77" t="s">
        <v>37</v>
      </c>
      <c r="I112" s="84">
        <v>54000</v>
      </c>
      <c r="J112" s="84">
        <f>IF(REGISTRO[[#This Row],[TYPE]]="EXPENSE",J111-I112,J111+I112)</f>
        <v>928837</v>
      </c>
    </row>
    <row r="113" spans="6:10" x14ac:dyDescent="0.4">
      <c r="F113" s="76">
        <v>45944</v>
      </c>
      <c r="G113" s="77" t="s">
        <v>23</v>
      </c>
      <c r="H113" s="77" t="s">
        <v>46</v>
      </c>
      <c r="I113" s="84">
        <v>146500</v>
      </c>
      <c r="J113" s="84">
        <f>IF(REGISTRO[[#This Row],[TYPE]]="EXPENSE",J112-I113,J112+I113)</f>
        <v>782337</v>
      </c>
    </row>
    <row r="114" spans="6:10" x14ac:dyDescent="0.4">
      <c r="F114" s="76">
        <v>45944</v>
      </c>
      <c r="G114" s="77" t="s">
        <v>2</v>
      </c>
      <c r="H114" s="77" t="s">
        <v>46</v>
      </c>
      <c r="I114" s="84">
        <v>17700</v>
      </c>
      <c r="J114" s="84">
        <f>IF(REGISTRO[[#This Row],[TYPE]]="EXPENSE",J113-I114,J113+I114)</f>
        <v>764637</v>
      </c>
    </row>
    <row r="115" spans="6:10" x14ac:dyDescent="0.4">
      <c r="F115" s="76">
        <v>45944</v>
      </c>
      <c r="G115" s="77" t="s">
        <v>22</v>
      </c>
      <c r="H115" s="77" t="s">
        <v>46</v>
      </c>
      <c r="I115" s="84">
        <v>17490</v>
      </c>
      <c r="J115" s="84">
        <f>IF(REGISTRO[[#This Row],[TYPE]]="EXPENSE",J114-I115,J114+I115)</f>
        <v>747147</v>
      </c>
    </row>
    <row r="116" spans="6:10" x14ac:dyDescent="0.4">
      <c r="F116" s="76">
        <v>45944</v>
      </c>
      <c r="G116" s="77" t="s">
        <v>8</v>
      </c>
      <c r="H116" s="77" t="s">
        <v>46</v>
      </c>
      <c r="I116" s="84">
        <v>20000</v>
      </c>
      <c r="J116" s="84">
        <f>IF(REGISTRO[[#This Row],[TYPE]]="EXPENSE",J115-I116,J115+I116)</f>
        <v>727147</v>
      </c>
    </row>
    <row r="117" spans="6:10" x14ac:dyDescent="0.4">
      <c r="F117" s="76">
        <v>45944</v>
      </c>
      <c r="G117" s="77" t="s">
        <v>24</v>
      </c>
      <c r="H117" s="77" t="s">
        <v>37</v>
      </c>
      <c r="I117" s="84">
        <v>5000</v>
      </c>
      <c r="J117" s="84">
        <f>IF(REGISTRO[[#This Row],[TYPE]]="EXPENSE",J116-I117,J116+I117)</f>
        <v>732147</v>
      </c>
    </row>
    <row r="118" spans="6:10" x14ac:dyDescent="0.4">
      <c r="F118" s="76">
        <v>45944</v>
      </c>
      <c r="G118" s="77" t="s">
        <v>8</v>
      </c>
      <c r="H118" s="77" t="s">
        <v>46</v>
      </c>
      <c r="I118" s="84">
        <v>9000</v>
      </c>
      <c r="J118" s="84">
        <f>IF(REGISTRO[[#This Row],[TYPE]]="EXPENSE",J117-I118,J117+I118)</f>
        <v>723147</v>
      </c>
    </row>
    <row r="119" spans="6:10" x14ac:dyDescent="0.4">
      <c r="F119" s="76">
        <v>45944</v>
      </c>
      <c r="G119" s="77" t="s">
        <v>8</v>
      </c>
      <c r="H119" s="77" t="s">
        <v>46</v>
      </c>
      <c r="I119" s="84">
        <v>1668</v>
      </c>
      <c r="J119" s="84">
        <f>IF(REGISTRO[[#This Row],[TYPE]]="EXPENSE",J118-I119,J118+I119)</f>
        <v>721479</v>
      </c>
    </row>
    <row r="120" spans="6:10" x14ac:dyDescent="0.4">
      <c r="F120" s="76">
        <v>45944</v>
      </c>
      <c r="G120" s="77" t="s">
        <v>23</v>
      </c>
      <c r="H120" s="77" t="s">
        <v>46</v>
      </c>
      <c r="I120" s="84">
        <v>500</v>
      </c>
      <c r="J120" s="84">
        <f>IF(REGISTRO[[#This Row],[TYPE]]="EXPENSE",J119-I120,J119+I120)</f>
        <v>720979</v>
      </c>
    </row>
    <row r="121" spans="6:10" x14ac:dyDescent="0.4">
      <c r="F121" s="76">
        <v>45945</v>
      </c>
      <c r="G121" s="77" t="s">
        <v>2</v>
      </c>
      <c r="H121" s="77" t="s">
        <v>46</v>
      </c>
      <c r="I121" s="84">
        <v>4500</v>
      </c>
      <c r="J121" s="84">
        <f>IF(REGISTRO[[#This Row],[TYPE]]="EXPENSE",J120-I121,J120+I121)</f>
        <v>716479</v>
      </c>
    </row>
    <row r="122" spans="6:10" x14ac:dyDescent="0.4">
      <c r="F122" s="76">
        <v>45946</v>
      </c>
      <c r="G122" s="77" t="s">
        <v>2</v>
      </c>
      <c r="H122" s="77" t="s">
        <v>46</v>
      </c>
      <c r="I122" s="84">
        <v>34000</v>
      </c>
      <c r="J122" s="84">
        <f>IF(REGISTRO[[#This Row],[TYPE]]="EXPENSE",J121-I122,J121+I122)</f>
        <v>682479</v>
      </c>
    </row>
    <row r="123" spans="6:10" x14ac:dyDescent="0.4">
      <c r="F123" s="76">
        <v>45946</v>
      </c>
      <c r="G123" s="77" t="s">
        <v>3</v>
      </c>
      <c r="H123" s="77" t="s">
        <v>37</v>
      </c>
      <c r="I123" s="84">
        <v>250000</v>
      </c>
      <c r="J123" s="84">
        <f>IF(REGISTRO[[#This Row],[TYPE]]="EXPENSE",J122-I123,J122+I123)</f>
        <v>932479</v>
      </c>
    </row>
    <row r="124" spans="6:10" x14ac:dyDescent="0.4">
      <c r="F124" s="76">
        <v>45946</v>
      </c>
      <c r="G124" s="77" t="s">
        <v>24</v>
      </c>
      <c r="H124" s="77" t="s">
        <v>37</v>
      </c>
      <c r="I124" s="84">
        <v>4000</v>
      </c>
      <c r="J124" s="84">
        <f>IF(REGISTRO[[#This Row],[TYPE]]="EXPENSE",J123-I124,J123+I124)</f>
        <v>936479</v>
      </c>
    </row>
    <row r="125" spans="6:10" x14ac:dyDescent="0.4">
      <c r="F125" s="76">
        <v>45949</v>
      </c>
      <c r="G125" s="77" t="s">
        <v>23</v>
      </c>
      <c r="H125" s="77" t="s">
        <v>46</v>
      </c>
      <c r="I125" s="84">
        <v>17000</v>
      </c>
      <c r="J125" s="84">
        <f>IF(REGISTRO[[#This Row],[TYPE]]="EXPENSE",J124-I125,J124+I125)</f>
        <v>919479</v>
      </c>
    </row>
    <row r="126" spans="6:10" x14ac:dyDescent="0.4">
      <c r="F126" s="76">
        <v>45949</v>
      </c>
      <c r="G126" s="77" t="s">
        <v>50</v>
      </c>
      <c r="H126" s="77" t="s">
        <v>46</v>
      </c>
      <c r="I126" s="84">
        <v>22900</v>
      </c>
      <c r="J126" s="84">
        <f>IF(REGISTRO[[#This Row],[TYPE]]="EXPENSE",J125-I126,J125+I126)</f>
        <v>896579</v>
      </c>
    </row>
    <row r="127" spans="6:10" x14ac:dyDescent="0.4">
      <c r="F127" s="76">
        <v>45949</v>
      </c>
      <c r="G127" s="77" t="s">
        <v>24</v>
      </c>
      <c r="H127" s="77" t="s">
        <v>37</v>
      </c>
      <c r="I127" s="84">
        <v>70000</v>
      </c>
      <c r="J127" s="84">
        <f>IF(REGISTRO[[#This Row],[TYPE]]="EXPENSE",J126-I127,J126+I127)</f>
        <v>966579</v>
      </c>
    </row>
    <row r="128" spans="6:10" x14ac:dyDescent="0.4">
      <c r="F128" s="76">
        <v>45947</v>
      </c>
      <c r="G128" s="77" t="s">
        <v>22</v>
      </c>
      <c r="H128" s="77" t="s">
        <v>46</v>
      </c>
      <c r="I128" s="84">
        <v>3900</v>
      </c>
      <c r="J128" s="84">
        <f>IF(REGISTRO[[#This Row],[TYPE]]="EXPENSE",J127-I128,J127+I128)</f>
        <v>962679</v>
      </c>
    </row>
    <row r="129" spans="6:10" x14ac:dyDescent="0.4">
      <c r="F129" s="76">
        <v>45953</v>
      </c>
      <c r="G129" s="77" t="s">
        <v>24</v>
      </c>
      <c r="H129" s="77" t="s">
        <v>37</v>
      </c>
      <c r="I129" s="84">
        <v>38000</v>
      </c>
      <c r="J129" s="84">
        <f>IF(REGISTRO[[#This Row],[TYPE]]="EXPENSE",J128-I129,J128+I129)</f>
        <v>1000679</v>
      </c>
    </row>
    <row r="130" spans="6:10" x14ac:dyDescent="0.4">
      <c r="F130" s="76">
        <v>45953</v>
      </c>
      <c r="G130" s="77" t="s">
        <v>2</v>
      </c>
      <c r="H130" s="77" t="s">
        <v>46</v>
      </c>
      <c r="I130" s="84">
        <v>6500</v>
      </c>
      <c r="J130" s="84">
        <f>IF(REGISTRO[[#This Row],[TYPE]]="EXPENSE",J129-I130,J129+I130)</f>
        <v>994179</v>
      </c>
    </row>
    <row r="131" spans="6:10" x14ac:dyDescent="0.4">
      <c r="F131" s="76">
        <v>45961</v>
      </c>
      <c r="G131" s="77" t="s">
        <v>23</v>
      </c>
      <c r="H131" s="77" t="s">
        <v>46</v>
      </c>
      <c r="I131" s="84">
        <v>34500</v>
      </c>
      <c r="J131" s="84">
        <f>IF(REGISTRO[[#This Row],[TYPE]]="EXPENSE",J130-I131,J130+I131)</f>
        <v>959679</v>
      </c>
    </row>
    <row r="132" spans="6:10" x14ac:dyDescent="0.4">
      <c r="F132" s="76">
        <v>45961</v>
      </c>
      <c r="G132" s="77" t="s">
        <v>50</v>
      </c>
      <c r="H132" s="77" t="s">
        <v>46</v>
      </c>
      <c r="I132" s="84">
        <v>2000</v>
      </c>
      <c r="J132" s="84">
        <f>IF(REGISTRO[[#This Row],[TYPE]]="EXPENSE",J131-I132,J131+I132)</f>
        <v>957679</v>
      </c>
    </row>
    <row r="133" spans="6:10" x14ac:dyDescent="0.4">
      <c r="F133" s="76">
        <v>45961</v>
      </c>
      <c r="G133" s="77" t="s">
        <v>24</v>
      </c>
      <c r="H133" s="77" t="s">
        <v>37</v>
      </c>
      <c r="I133" s="84">
        <v>55000</v>
      </c>
      <c r="J133" s="84">
        <f>IF(REGISTRO[[#This Row],[TYPE]]="EXPENSE",J132-I133,J132+I133)</f>
        <v>1012679</v>
      </c>
    </row>
    <row r="134" spans="6:10" x14ac:dyDescent="0.4">
      <c r="F134" s="76">
        <v>45961</v>
      </c>
      <c r="G134" s="77" t="s">
        <v>2</v>
      </c>
      <c r="H134" s="77" t="s">
        <v>46</v>
      </c>
      <c r="I134" s="84">
        <v>4350</v>
      </c>
      <c r="J134" s="84">
        <f>IF(REGISTRO[[#This Row],[TYPE]]="EXPENSE",J133-I134,J133+I134)</f>
        <v>1008329</v>
      </c>
    </row>
    <row r="135" spans="6:10" x14ac:dyDescent="0.4">
      <c r="F135" s="76">
        <v>45961</v>
      </c>
      <c r="G135" s="77" t="s">
        <v>8</v>
      </c>
      <c r="H135" s="77" t="s">
        <v>46</v>
      </c>
      <c r="I135" s="84">
        <v>55000</v>
      </c>
      <c r="J135" s="84">
        <f>IF(REGISTRO[[#This Row],[TYPE]]="EXPENSE",J134-I135,J134+I135)</f>
        <v>953329</v>
      </c>
    </row>
    <row r="136" spans="6:10" x14ac:dyDescent="0.4">
      <c r="F136" s="76">
        <v>45961</v>
      </c>
      <c r="G136" s="77" t="s">
        <v>8</v>
      </c>
      <c r="H136" s="77" t="s">
        <v>46</v>
      </c>
      <c r="I136" s="84">
        <v>44000</v>
      </c>
      <c r="J136" s="84">
        <f>IF(REGISTRO[[#This Row],[TYPE]]="EXPENSE",J135-I136,J135+I136)</f>
        <v>909329</v>
      </c>
    </row>
    <row r="137" spans="6:10" x14ac:dyDescent="0.4">
      <c r="F137" s="76">
        <v>45961</v>
      </c>
      <c r="G137" s="77" t="s">
        <v>2</v>
      </c>
      <c r="H137" s="77" t="s">
        <v>46</v>
      </c>
      <c r="I137" s="84">
        <v>22000</v>
      </c>
      <c r="J137" s="84">
        <f>IF(REGISTRO[[#This Row],[TYPE]]="EXPENSE",J136-I137,J136+I137)</f>
        <v>887329</v>
      </c>
    </row>
    <row r="138" spans="6:10" x14ac:dyDescent="0.4">
      <c r="F138" s="76">
        <v>45961</v>
      </c>
      <c r="G138" s="77" t="s">
        <v>24</v>
      </c>
      <c r="H138" s="77" t="s">
        <v>37</v>
      </c>
      <c r="I138" s="84">
        <v>2366</v>
      </c>
      <c r="J138" s="84">
        <f>IF(REGISTRO[[#This Row],[TYPE]]="EXPENSE",J137-I138,J137+I138)</f>
        <v>889695</v>
      </c>
    </row>
    <row r="139" spans="6:10" x14ac:dyDescent="0.4">
      <c r="F139" s="76">
        <v>45961</v>
      </c>
      <c r="G139" s="77" t="s">
        <v>24</v>
      </c>
      <c r="H139" s="77" t="s">
        <v>37</v>
      </c>
      <c r="I139" s="84">
        <v>0</v>
      </c>
      <c r="J139" s="84">
        <f>IF(REGISTRO[[#This Row],[TYPE]]="EXPENSE",J138-I139,J138+I139)</f>
        <v>889695</v>
      </c>
    </row>
    <row r="140" spans="6:10" x14ac:dyDescent="0.4">
      <c r="F140" s="76">
        <v>45965</v>
      </c>
      <c r="G140" s="77" t="s">
        <v>3</v>
      </c>
      <c r="H140" s="77" t="s">
        <v>37</v>
      </c>
      <c r="I140" s="84">
        <v>250000</v>
      </c>
      <c r="J140" s="84">
        <f>IF(REGISTRO[[#This Row],[TYPE]]="EXPENSE",J139-I140,J139+I140)</f>
        <v>1139695</v>
      </c>
    </row>
    <row r="141" spans="6:10" x14ac:dyDescent="0.4">
      <c r="F141" s="76">
        <v>45965</v>
      </c>
      <c r="G141" s="77" t="s">
        <v>24</v>
      </c>
      <c r="H141" s="77" t="s">
        <v>37</v>
      </c>
      <c r="I141" s="84">
        <v>4000</v>
      </c>
      <c r="J141" s="84">
        <f>IF(REGISTRO[[#This Row],[TYPE]]="EXPENSE",J140-I141,J140+I141)</f>
        <v>1143695</v>
      </c>
    </row>
    <row r="142" spans="6:10" x14ac:dyDescent="0.4">
      <c r="F142" s="76">
        <v>45965</v>
      </c>
      <c r="G142" s="77" t="s">
        <v>23</v>
      </c>
      <c r="H142" s="77" t="s">
        <v>46</v>
      </c>
      <c r="I142" s="84">
        <v>15650</v>
      </c>
      <c r="J142" s="84">
        <f>IF(REGISTRO[[#This Row],[TYPE]]="EXPENSE",J141-I142,J141+I142)</f>
        <v>1128045</v>
      </c>
    </row>
    <row r="143" spans="6:10" x14ac:dyDescent="0.4">
      <c r="F143" s="76">
        <v>45965</v>
      </c>
      <c r="G143" s="77" t="s">
        <v>2</v>
      </c>
      <c r="H143" s="77" t="s">
        <v>46</v>
      </c>
      <c r="I143" s="84">
        <v>27000</v>
      </c>
      <c r="J143" s="84">
        <f>IF(REGISTRO[[#This Row],[TYPE]]="EXPENSE",J142-I143,J142+I143)</f>
        <v>1101045</v>
      </c>
    </row>
    <row r="144" spans="6:10" x14ac:dyDescent="0.4">
      <c r="F144" s="76">
        <v>45971</v>
      </c>
      <c r="G144" s="77" t="s">
        <v>24</v>
      </c>
      <c r="H144" s="77" t="s">
        <v>37</v>
      </c>
      <c r="I144" s="84">
        <v>21000</v>
      </c>
      <c r="J144" s="84">
        <f>IF(REGISTRO[[#This Row],[TYPE]]="EXPENSE",J143-I144,J143+I144)</f>
        <v>1122045</v>
      </c>
    </row>
    <row r="145" spans="6:10" x14ac:dyDescent="0.4">
      <c r="F145" s="76">
        <v>45971</v>
      </c>
      <c r="G145" s="77" t="s">
        <v>23</v>
      </c>
      <c r="H145" s="77" t="s">
        <v>46</v>
      </c>
      <c r="I145" s="84">
        <v>28515</v>
      </c>
      <c r="J145" s="84">
        <f>IF(REGISTRO[[#This Row],[TYPE]]="EXPENSE",J144-I145,J144+I145)</f>
        <v>1093530</v>
      </c>
    </row>
    <row r="146" spans="6:10" x14ac:dyDescent="0.4">
      <c r="F146" s="76">
        <v>45971</v>
      </c>
      <c r="G146" s="77" t="s">
        <v>50</v>
      </c>
      <c r="H146" s="77" t="s">
        <v>46</v>
      </c>
      <c r="I146" s="84">
        <v>16900</v>
      </c>
      <c r="J146" s="84">
        <f>IF(REGISTRO[[#This Row],[TYPE]]="EXPENSE",J145-I146,J145+I146)</f>
        <v>1076630</v>
      </c>
    </row>
    <row r="147" spans="6:10" x14ac:dyDescent="0.4">
      <c r="F147" s="76">
        <v>45971</v>
      </c>
      <c r="G147" s="77" t="s">
        <v>50</v>
      </c>
      <c r="H147" s="77" t="s">
        <v>46</v>
      </c>
      <c r="I147" s="84">
        <v>150000</v>
      </c>
      <c r="J147" s="84">
        <f>IF(REGISTRO[[#This Row],[TYPE]]="EXPENSE",J146-I147,J146+I147)</f>
        <v>926630</v>
      </c>
    </row>
    <row r="148" spans="6:10" x14ac:dyDescent="0.4">
      <c r="F148" s="76">
        <v>45973</v>
      </c>
      <c r="G148" s="77" t="s">
        <v>24</v>
      </c>
      <c r="H148" s="77" t="s">
        <v>37</v>
      </c>
      <c r="I148" s="84">
        <v>88000</v>
      </c>
      <c r="J148" s="84">
        <f>IF(REGISTRO[[#This Row],[TYPE]]="EXPENSE",J147-I148,J147+I148)</f>
        <v>1014630</v>
      </c>
    </row>
    <row r="149" spans="6:10" x14ac:dyDescent="0.4">
      <c r="F149" s="76">
        <v>45973</v>
      </c>
      <c r="G149" s="77" t="s">
        <v>50</v>
      </c>
      <c r="H149" s="77" t="s">
        <v>46</v>
      </c>
      <c r="I149" s="84">
        <v>37700</v>
      </c>
      <c r="J149" s="84">
        <f>IF(REGISTRO[[#This Row],[TYPE]]="EXPENSE",J148-I149,J148+I149)</f>
        <v>976930</v>
      </c>
    </row>
    <row r="150" spans="6:10" x14ac:dyDescent="0.4">
      <c r="F150" s="76">
        <v>45973</v>
      </c>
      <c r="G150" s="77" t="s">
        <v>2</v>
      </c>
      <c r="H150" s="77" t="s">
        <v>46</v>
      </c>
      <c r="I150" s="84">
        <v>4000</v>
      </c>
      <c r="J150" s="84">
        <f>IF(REGISTRO[[#This Row],[TYPE]]="EXPENSE",J149-I150,J149+I150)</f>
        <v>972930</v>
      </c>
    </row>
    <row r="151" spans="6:10" x14ac:dyDescent="0.4">
      <c r="F151" s="76">
        <v>45977</v>
      </c>
      <c r="G151" s="77" t="s">
        <v>22</v>
      </c>
      <c r="H151" s="77" t="s">
        <v>46</v>
      </c>
      <c r="I151" s="84">
        <v>21390</v>
      </c>
      <c r="J151" s="84">
        <f>IF(REGISTRO[[#This Row],[TYPE]]="EXPENSE",J150-I151,J150+I151)</f>
        <v>951540</v>
      </c>
    </row>
    <row r="152" spans="6:10" x14ac:dyDescent="0.4">
      <c r="F152" s="76">
        <v>45979</v>
      </c>
      <c r="G152" s="77" t="s">
        <v>2</v>
      </c>
      <c r="H152" s="77" t="s">
        <v>46</v>
      </c>
      <c r="I152" s="84">
        <v>12000</v>
      </c>
      <c r="J152" s="84">
        <f>IF(REGISTRO[[#This Row],[TYPE]]="EXPENSE",J151-I152,J151+I152)</f>
        <v>939540</v>
      </c>
    </row>
    <row r="153" spans="6:10" x14ac:dyDescent="0.4">
      <c r="F153" s="76">
        <v>45979</v>
      </c>
      <c r="G153" s="77" t="s">
        <v>3</v>
      </c>
      <c r="H153" s="77" t="s">
        <v>37</v>
      </c>
      <c r="I153" s="84">
        <v>250000</v>
      </c>
      <c r="J153" s="84">
        <f>IF(REGISTRO[[#This Row],[TYPE]]="EXPENSE",J152-I153,J152+I153)</f>
        <v>1189540</v>
      </c>
    </row>
    <row r="154" spans="6:10" x14ac:dyDescent="0.4">
      <c r="F154" s="76">
        <v>45979</v>
      </c>
      <c r="G154" s="77" t="s">
        <v>2</v>
      </c>
      <c r="H154" s="77" t="s">
        <v>46</v>
      </c>
      <c r="I154" s="84">
        <v>14000</v>
      </c>
      <c r="J154" s="84">
        <f>IF(REGISTRO[[#This Row],[TYPE]]="EXPENSE",J153-I154,J153+I154)</f>
        <v>1175540</v>
      </c>
    </row>
    <row r="155" spans="6:10" x14ac:dyDescent="0.4">
      <c r="F155" s="76">
        <v>45980</v>
      </c>
      <c r="G155" s="77" t="s">
        <v>23</v>
      </c>
      <c r="H155" s="77" t="s">
        <v>46</v>
      </c>
      <c r="I155" s="84">
        <v>14500</v>
      </c>
      <c r="J155" s="84">
        <f>IF(REGISTRO[[#This Row],[TYPE]]="EXPENSE",J154-I155,J154+I155)</f>
        <v>1161040</v>
      </c>
    </row>
    <row r="156" spans="6:10" x14ac:dyDescent="0.4">
      <c r="F156" s="76">
        <v>45980</v>
      </c>
      <c r="G156" s="77" t="s">
        <v>24</v>
      </c>
      <c r="H156" s="77" t="s">
        <v>37</v>
      </c>
      <c r="I156" s="84">
        <v>30000</v>
      </c>
      <c r="J156" s="84">
        <f>IF(REGISTRO[[#This Row],[TYPE]]="EXPENSE",J155-I156,J155+I156)</f>
        <v>1191040</v>
      </c>
    </row>
    <row r="157" spans="6:10" x14ac:dyDescent="0.4">
      <c r="F157" s="76">
        <v>45984</v>
      </c>
      <c r="G157" s="77" t="s">
        <v>24</v>
      </c>
      <c r="H157" s="77" t="s">
        <v>37</v>
      </c>
      <c r="I157" s="70"/>
      <c r="J157" s="70">
        <f>IF(REGISTRO[[#This Row],[TYPE]]="EXPENSE",J156-I157,J156+I157)</f>
        <v>1191040</v>
      </c>
    </row>
    <row r="158" spans="6:10" x14ac:dyDescent="0.4">
      <c r="F158" s="76">
        <v>45984</v>
      </c>
      <c r="G158" s="77" t="s">
        <v>24</v>
      </c>
      <c r="H158" s="77" t="s">
        <v>37</v>
      </c>
      <c r="I158" s="70">
        <v>0</v>
      </c>
      <c r="J158" s="70">
        <f>IF(REGISTRO[[#This Row],[TYPE]]="EXPENSE",J157-I158,J157+I158)</f>
        <v>1191040</v>
      </c>
    </row>
    <row r="159" spans="6:10" x14ac:dyDescent="0.4">
      <c r="F159" s="76">
        <v>45984</v>
      </c>
      <c r="G159" s="77" t="s">
        <v>24</v>
      </c>
      <c r="H159" s="77" t="s">
        <v>37</v>
      </c>
      <c r="I159" s="70">
        <v>0</v>
      </c>
      <c r="J159" s="70">
        <f>IF(REGISTRO[[#This Row],[TYPE]]="EXPENSE",J158-I159,J158+I159)</f>
        <v>1191040</v>
      </c>
    </row>
    <row r="160" spans="6:10" x14ac:dyDescent="0.4">
      <c r="F160" s="76">
        <v>45991</v>
      </c>
      <c r="G160" s="77" t="s">
        <v>24</v>
      </c>
      <c r="H160" s="77" t="s">
        <v>37</v>
      </c>
      <c r="I160" s="70">
        <v>23000</v>
      </c>
      <c r="J160" s="70">
        <f>IF(REGISTRO[[#This Row],[TYPE]]="EXPENSE",J159-I160,J159+I160)</f>
        <v>1214040</v>
      </c>
    </row>
    <row r="161" spans="6:10" x14ac:dyDescent="0.4">
      <c r="F161" s="76">
        <v>45991</v>
      </c>
      <c r="G161" s="77" t="s">
        <v>50</v>
      </c>
      <c r="H161" s="77" t="s">
        <v>46</v>
      </c>
      <c r="I161" s="70">
        <v>144000</v>
      </c>
      <c r="J161" s="70">
        <f>IF(REGISTRO[[#This Row],[TYPE]]="EXPENSE",J160-I161,J160+I161)</f>
        <v>1070040</v>
      </c>
    </row>
    <row r="162" spans="6:10" x14ac:dyDescent="0.4">
      <c r="F162" s="76">
        <v>45991</v>
      </c>
      <c r="G162" s="77" t="s">
        <v>2</v>
      </c>
      <c r="H162" s="77" t="s">
        <v>46</v>
      </c>
      <c r="I162" s="70">
        <v>3300</v>
      </c>
      <c r="J162" s="70">
        <f>IF(REGISTRO[[#This Row],[TYPE]]="EXPENSE",J161-I162,J161+I162)</f>
        <v>1066740</v>
      </c>
    </row>
    <row r="163" spans="6:10" x14ac:dyDescent="0.4">
      <c r="F163" s="76">
        <v>45992</v>
      </c>
      <c r="G163" s="77" t="s">
        <v>3</v>
      </c>
      <c r="H163" s="77" t="s">
        <v>37</v>
      </c>
      <c r="I163" s="70">
        <v>250000</v>
      </c>
      <c r="J163" s="70">
        <f>IF(REGISTRO[[#This Row],[TYPE]]="EXPENSE",J162-I163,J162+I163)</f>
        <v>1316740</v>
      </c>
    </row>
    <row r="164" spans="6:10" x14ac:dyDescent="0.4">
      <c r="F164" s="76">
        <v>45992</v>
      </c>
      <c r="G164" s="77" t="s">
        <v>23</v>
      </c>
      <c r="H164" s="77" t="s">
        <v>46</v>
      </c>
      <c r="I164" s="70">
        <v>15000</v>
      </c>
      <c r="J164" s="70">
        <f>IF(REGISTRO[[#This Row],[TYPE]]="EXPENSE",J163-I164,J163+I164)</f>
        <v>1301740</v>
      </c>
    </row>
    <row r="165" spans="6:10" x14ac:dyDescent="0.4">
      <c r="F165" s="76">
        <v>45992</v>
      </c>
      <c r="G165" s="77" t="s">
        <v>8</v>
      </c>
      <c r="H165" s="77" t="s">
        <v>46</v>
      </c>
      <c r="I165" s="70">
        <v>78545</v>
      </c>
      <c r="J165" s="70">
        <f>IF(REGISTRO[[#This Row],[TYPE]]="EXPENSE",J164-I165,J164+I165)</f>
        <v>1223195</v>
      </c>
    </row>
    <row r="166" spans="6:10" x14ac:dyDescent="0.4">
      <c r="F166" s="76">
        <v>46023</v>
      </c>
      <c r="G166" s="77" t="s">
        <v>8</v>
      </c>
      <c r="H166" s="77" t="s">
        <v>46</v>
      </c>
      <c r="I166" s="70">
        <v>201488</v>
      </c>
      <c r="J166" s="70">
        <f>IF(REGISTRO[[#This Row],[TYPE]]="EXPENSE",J165-I166,J165+I166)</f>
        <v>1021707</v>
      </c>
    </row>
    <row r="167" spans="6:10" x14ac:dyDescent="0.4">
      <c r="F167" s="76">
        <v>45992</v>
      </c>
      <c r="G167" s="77" t="s">
        <v>8</v>
      </c>
      <c r="H167" s="77" t="s">
        <v>46</v>
      </c>
      <c r="I167" s="70">
        <v>201488</v>
      </c>
      <c r="J167" s="70">
        <f>IF(REGISTRO[[#This Row],[TYPE]]="EXPENSE",J166-I167,J166+I167)</f>
        <v>820219</v>
      </c>
    </row>
    <row r="168" spans="6:10" x14ac:dyDescent="0.4">
      <c r="F168" s="76">
        <v>46054</v>
      </c>
      <c r="G168" s="77" t="s">
        <v>3</v>
      </c>
      <c r="H168" s="77" t="s">
        <v>37</v>
      </c>
      <c r="I168" s="70">
        <v>250000</v>
      </c>
      <c r="J168" s="70">
        <f>IF(REGISTRO[[#This Row],[TYPE]]="EXPENSE",J167-I168,J167+I168)</f>
        <v>1070219</v>
      </c>
    </row>
    <row r="169" spans="6:10" x14ac:dyDescent="0.4">
      <c r="F169" s="76">
        <v>46054</v>
      </c>
      <c r="G169" s="77" t="s">
        <v>2</v>
      </c>
      <c r="H169" s="77" t="s">
        <v>46</v>
      </c>
      <c r="I169" s="70">
        <v>25600</v>
      </c>
      <c r="J169" s="70">
        <f>IF(REGISTRO[[#This Row],[TYPE]]="EXPENSE",J168-I169,J168+I169)</f>
        <v>1044619</v>
      </c>
    </row>
    <row r="170" spans="6:10" x14ac:dyDescent="0.4">
      <c r="F170" s="76">
        <v>46054</v>
      </c>
      <c r="G170" s="77" t="s">
        <v>8</v>
      </c>
      <c r="H170" s="77" t="s">
        <v>46</v>
      </c>
      <c r="I170" s="70">
        <v>66000</v>
      </c>
      <c r="J170" s="70">
        <f>IF(REGISTRO[[#This Row],[TYPE]]="EXPENSE",J169-I170,J169+I170)</f>
        <v>978619</v>
      </c>
    </row>
    <row r="171" spans="6:10" x14ac:dyDescent="0.4">
      <c r="F171" s="76">
        <v>46054</v>
      </c>
      <c r="G171" s="77" t="s">
        <v>50</v>
      </c>
      <c r="H171" s="77" t="s">
        <v>46</v>
      </c>
      <c r="I171" s="70">
        <v>1000</v>
      </c>
      <c r="J171" s="70">
        <f>IF(REGISTRO[[#This Row],[TYPE]]="EXPENSE",J170-I171,J170+I171)</f>
        <v>977619</v>
      </c>
    </row>
    <row r="172" spans="6:10" x14ac:dyDescent="0.4">
      <c r="F172" s="76">
        <v>46023</v>
      </c>
      <c r="G172" s="77" t="s">
        <v>22</v>
      </c>
      <c r="H172" s="77" t="s">
        <v>46</v>
      </c>
      <c r="I172" s="70">
        <v>21400</v>
      </c>
      <c r="J172" s="70">
        <f>IF(REGISTRO[[#This Row],[TYPE]]="EXPENSE",J171-I172,J171+I172)</f>
        <v>956219</v>
      </c>
    </row>
    <row r="173" spans="6:10" x14ac:dyDescent="0.4">
      <c r="F173" s="76">
        <v>46054</v>
      </c>
      <c r="G173" s="77" t="s">
        <v>50</v>
      </c>
      <c r="H173" s="77" t="s">
        <v>46</v>
      </c>
      <c r="I173" s="70">
        <v>3000</v>
      </c>
      <c r="J173" s="70">
        <f>IF(REGISTRO[[#This Row],[TYPE]]="EXPENSE",J172-I173,J172+I173)</f>
        <v>953219</v>
      </c>
    </row>
    <row r="174" spans="6:10" x14ac:dyDescent="0.4">
      <c r="F174" s="76">
        <v>46054</v>
      </c>
      <c r="G174" s="77" t="s">
        <v>23</v>
      </c>
      <c r="H174" s="77" t="s">
        <v>46</v>
      </c>
      <c r="I174" s="70">
        <v>4000</v>
      </c>
      <c r="J174" s="70">
        <f>IF(REGISTRO[[#This Row],[TYPE]]="EXPENSE",J173-I174,J173+I174)</f>
        <v>949219</v>
      </c>
    </row>
    <row r="175" spans="6:10" x14ac:dyDescent="0.4">
      <c r="F175" s="76">
        <v>46054</v>
      </c>
      <c r="G175" s="77" t="s">
        <v>23</v>
      </c>
      <c r="H175" s="77" t="s">
        <v>46</v>
      </c>
      <c r="I175" s="70">
        <v>16000</v>
      </c>
      <c r="J175" s="70">
        <f>IF(REGISTRO[[#This Row],[TYPE]]="EXPENSE",J174-I175,J174+I175)</f>
        <v>933219</v>
      </c>
    </row>
    <row r="176" spans="6:10" x14ac:dyDescent="0.4">
      <c r="F176" s="76">
        <v>46054</v>
      </c>
      <c r="G176" s="77" t="s">
        <v>24</v>
      </c>
      <c r="H176" s="77" t="s">
        <v>37</v>
      </c>
      <c r="I176" s="70">
        <v>4000</v>
      </c>
      <c r="J176" s="70">
        <f>IF(REGISTRO[[#This Row],[TYPE]]="EXPENSE",J175-I176,J175+I176)</f>
        <v>937219</v>
      </c>
    </row>
    <row r="177" spans="6:10" x14ac:dyDescent="0.4">
      <c r="F177" s="76">
        <v>46023</v>
      </c>
      <c r="G177" s="77" t="s">
        <v>8</v>
      </c>
      <c r="H177" s="77" t="s">
        <v>46</v>
      </c>
      <c r="I177" s="70">
        <v>117000</v>
      </c>
      <c r="J177" s="70">
        <f>IF(REGISTRO[[#This Row],[TYPE]]="EXPENSE",J176-I177,J176+I177)</f>
        <v>820219</v>
      </c>
    </row>
    <row r="178" spans="6:10" x14ac:dyDescent="0.4">
      <c r="F178" s="76">
        <v>46064</v>
      </c>
      <c r="G178" s="77" t="s">
        <v>2</v>
      </c>
      <c r="H178" s="77" t="s">
        <v>46</v>
      </c>
      <c r="I178" s="70">
        <v>9600</v>
      </c>
      <c r="J178" s="70">
        <f>IF(REGISTRO[[#This Row],[TYPE]]="EXPENSE",J177-I178,J177+I178)</f>
        <v>810619</v>
      </c>
    </row>
    <row r="179" spans="6:10" x14ac:dyDescent="0.4">
      <c r="F179" s="76">
        <v>46067</v>
      </c>
      <c r="G179" s="77" t="s">
        <v>2</v>
      </c>
      <c r="H179" s="77" t="s">
        <v>46</v>
      </c>
      <c r="I179" s="70">
        <v>35600</v>
      </c>
      <c r="J179" s="70">
        <f>IF(REGISTRO[[#This Row],[TYPE]]="EXPENSE",J178-I179,J178+I179)</f>
        <v>775019</v>
      </c>
    </row>
    <row r="180" spans="6:10" x14ac:dyDescent="0.4">
      <c r="F180" s="76">
        <v>46067</v>
      </c>
      <c r="G180" s="77" t="s">
        <v>61</v>
      </c>
      <c r="H180" s="77" t="s">
        <v>46</v>
      </c>
      <c r="I180" s="70">
        <v>8500</v>
      </c>
      <c r="J180" s="70">
        <f>IF(REGISTRO[[#This Row],[TYPE]]="EXPENSE",J179-I180,J179+I180)</f>
        <v>766519</v>
      </c>
    </row>
    <row r="181" spans="6:10" x14ac:dyDescent="0.4">
      <c r="F181" s="76">
        <v>46067</v>
      </c>
      <c r="G181" s="77" t="s">
        <v>8</v>
      </c>
      <c r="H181" s="77" t="s">
        <v>46</v>
      </c>
      <c r="I181" s="70">
        <v>105200</v>
      </c>
      <c r="J181" s="70">
        <f>IF(REGISTRO[[#This Row],[TYPE]]="EXPENSE",J180-I181,J180+I181)</f>
        <v>661319</v>
      </c>
    </row>
    <row r="182" spans="6:10" x14ac:dyDescent="0.4">
      <c r="F182" s="76">
        <v>46068</v>
      </c>
      <c r="G182" s="77" t="s">
        <v>3</v>
      </c>
      <c r="H182" s="77" t="s">
        <v>37</v>
      </c>
      <c r="I182" s="70">
        <v>250000</v>
      </c>
      <c r="J182" s="70">
        <f>IF(REGISTRO[[#This Row],[TYPE]]="EXPENSE",J181-I182,J181+I182)</f>
        <v>911319</v>
      </c>
    </row>
    <row r="183" spans="6:10" x14ac:dyDescent="0.4">
      <c r="F183" s="76">
        <v>46068</v>
      </c>
      <c r="G183" s="77" t="s">
        <v>24</v>
      </c>
      <c r="H183" s="77" t="s">
        <v>37</v>
      </c>
      <c r="I183" s="70">
        <v>11435</v>
      </c>
      <c r="J183" s="70">
        <f>IF(REGISTRO[[#This Row],[TYPE]]="EXPENSE",J182-I183,J182+I183)</f>
        <v>922754</v>
      </c>
    </row>
    <row r="184" spans="6:10" x14ac:dyDescent="0.4">
      <c r="F184" s="76">
        <v>46069</v>
      </c>
      <c r="G184" s="77" t="s">
        <v>24</v>
      </c>
      <c r="H184" s="77" t="s">
        <v>37</v>
      </c>
      <c r="I184" s="70">
        <v>0</v>
      </c>
      <c r="J184" s="70">
        <f>IF(REGISTRO[[#This Row],[TYPE]]="EXPENSE",J183-I184,J183+I184)</f>
        <v>922754</v>
      </c>
    </row>
    <row r="185" spans="6:10" x14ac:dyDescent="0.4">
      <c r="F185" s="76">
        <v>46073</v>
      </c>
      <c r="G185" s="77" t="s">
        <v>8</v>
      </c>
      <c r="H185" s="77" t="s">
        <v>46</v>
      </c>
      <c r="I185" s="70">
        <v>64900</v>
      </c>
      <c r="J185" s="70">
        <f>IF(REGISTRO[[#This Row],[TYPE]]="EXPENSE",J184-I185,J184+I185)</f>
        <v>857854</v>
      </c>
    </row>
    <row r="186" spans="6:10" x14ac:dyDescent="0.4">
      <c r="F186" s="76">
        <v>46073</v>
      </c>
      <c r="G186" s="77" t="s">
        <v>50</v>
      </c>
      <c r="H186" s="77" t="s">
        <v>46</v>
      </c>
      <c r="I186" s="70">
        <v>10000</v>
      </c>
      <c r="J186" s="70">
        <f>IF(REGISTRO[[#This Row],[TYPE]]="EXPENSE",J185-I186,J185+I186)</f>
        <v>847854</v>
      </c>
    </row>
    <row r="187" spans="6:10" x14ac:dyDescent="0.4">
      <c r="F187" s="76">
        <v>46073</v>
      </c>
      <c r="G187" s="77" t="s">
        <v>24</v>
      </c>
      <c r="H187" s="77" t="s">
        <v>37</v>
      </c>
      <c r="I187" s="70">
        <v>1100</v>
      </c>
      <c r="J187" s="70">
        <f>IF(REGISTRO[[#This Row],[TYPE]]="EXPENSE",J186-I187,J186+I187)</f>
        <v>848954</v>
      </c>
    </row>
    <row r="188" spans="6:10" x14ac:dyDescent="0.4">
      <c r="F188" s="76">
        <v>46073</v>
      </c>
      <c r="G188" s="77" t="s">
        <v>24</v>
      </c>
      <c r="H188" s="77" t="s">
        <v>37</v>
      </c>
      <c r="I188" s="70">
        <v>110000</v>
      </c>
      <c r="J188" s="70">
        <f>IF(REGISTRO[[#This Row],[TYPE]]="EXPENSE",J187-I188,J187+I188)</f>
        <v>958954</v>
      </c>
    </row>
    <row r="189" spans="6:10" x14ac:dyDescent="0.4">
      <c r="F189" s="76">
        <v>46073</v>
      </c>
      <c r="G189" s="77" t="s">
        <v>23</v>
      </c>
      <c r="H189" s="77" t="s">
        <v>46</v>
      </c>
      <c r="I189" s="70">
        <v>61600</v>
      </c>
      <c r="J189" s="70">
        <f>IF(REGISTRO[[#This Row],[TYPE]]="EXPENSE",J188-I189,J188+I189)</f>
        <v>897354</v>
      </c>
    </row>
    <row r="190" spans="6:10" x14ac:dyDescent="0.4">
      <c r="F190" s="76">
        <v>46073</v>
      </c>
      <c r="G190" s="77" t="s">
        <v>50</v>
      </c>
      <c r="H190" s="77" t="s">
        <v>46</v>
      </c>
      <c r="I190" s="70">
        <v>4743</v>
      </c>
      <c r="J190" s="70">
        <f>IF(REGISTRO[[#This Row],[TYPE]]="EXPENSE",J189-I190,J189+I190)</f>
        <v>892611</v>
      </c>
    </row>
    <row r="191" spans="6:10" x14ac:dyDescent="0.4">
      <c r="F191" s="76">
        <v>46073</v>
      </c>
      <c r="G191" s="77" t="s">
        <v>60</v>
      </c>
      <c r="H191" s="77" t="s">
        <v>46</v>
      </c>
      <c r="I191" s="70">
        <v>12900</v>
      </c>
      <c r="J191" s="70">
        <f>IF(REGISTRO[[#This Row],[TYPE]]="EXPENSE",J190-I191,J190+I191)</f>
        <v>879711</v>
      </c>
    </row>
    <row r="192" spans="6:10" x14ac:dyDescent="0.4">
      <c r="F192" s="76">
        <v>46082</v>
      </c>
      <c r="G192" s="77" t="s">
        <v>23</v>
      </c>
      <c r="H192" s="77" t="s">
        <v>46</v>
      </c>
      <c r="I192" s="70">
        <v>12500</v>
      </c>
      <c r="J192" s="70">
        <f>IF(REGISTRO[[#This Row],[TYPE]]="EXPENSE",J191-I192,J191+I192)</f>
        <v>867211</v>
      </c>
    </row>
    <row r="193" spans="6:10" x14ac:dyDescent="0.4">
      <c r="F193" s="76">
        <v>46082</v>
      </c>
      <c r="G193" s="77" t="s">
        <v>8</v>
      </c>
      <c r="H193" s="77" t="s">
        <v>46</v>
      </c>
      <c r="I193" s="70">
        <v>41800</v>
      </c>
      <c r="J193" s="70">
        <f>IF(REGISTRO[[#This Row],[TYPE]]="EXPENSE",J192-I193,J192+I193)</f>
        <v>825411</v>
      </c>
    </row>
    <row r="194" spans="6:10" x14ac:dyDescent="0.4">
      <c r="F194" s="76">
        <v>46082</v>
      </c>
      <c r="G194" s="77" t="s">
        <v>50</v>
      </c>
      <c r="H194" s="77" t="s">
        <v>46</v>
      </c>
      <c r="I194" s="70">
        <v>7411</v>
      </c>
      <c r="J194" s="70">
        <f>IF(REGISTRO[[#This Row],[TYPE]]="EXPENSE",J193-I194,J193+I194)</f>
        <v>818000</v>
      </c>
    </row>
    <row r="195" spans="6:10" x14ac:dyDescent="0.4">
      <c r="F195" s="76">
        <v>46082</v>
      </c>
      <c r="G195" s="77" t="s">
        <v>50</v>
      </c>
      <c r="H195" s="77" t="s">
        <v>46</v>
      </c>
      <c r="I195" s="70">
        <v>0</v>
      </c>
      <c r="J195" s="70">
        <f>IF(REGISTRO[[#This Row],[TYPE]]="EXPENSE",J194-I195,J194+I195)</f>
        <v>818000</v>
      </c>
    </row>
    <row r="196" spans="6:10" x14ac:dyDescent="0.4">
      <c r="F196" s="76">
        <v>46084</v>
      </c>
      <c r="G196" s="77" t="s">
        <v>50</v>
      </c>
      <c r="H196" s="77" t="s">
        <v>46</v>
      </c>
      <c r="I196" s="70">
        <v>0</v>
      </c>
      <c r="J196" s="70">
        <f>IF(REGISTRO[[#This Row],[TYPE]]="EXPENSE",J195-I196,J195+I196)</f>
        <v>818000</v>
      </c>
    </row>
    <row r="197" spans="6:10" x14ac:dyDescent="0.4">
      <c r="F197" s="76">
        <v>45955</v>
      </c>
      <c r="G197" s="77" t="s">
        <v>24</v>
      </c>
      <c r="H197" s="77" t="s">
        <v>37</v>
      </c>
      <c r="I197" s="70">
        <v>100000</v>
      </c>
      <c r="J197" s="70">
        <f>IF(REGISTRO[[#This Row],[TYPE]]="EXPENSE",J196-I197,J196+I197)</f>
        <v>918000</v>
      </c>
    </row>
    <row r="198" spans="6:10" x14ac:dyDescent="0.4">
      <c r="F198" s="76">
        <v>45955</v>
      </c>
      <c r="G198" s="77" t="s">
        <v>8</v>
      </c>
      <c r="H198" s="77" t="s">
        <v>46</v>
      </c>
      <c r="I198" s="70">
        <v>100000</v>
      </c>
      <c r="J198" s="70">
        <f>IF(REGISTRO[[#This Row],[TYPE]]="EXPENSE",J197-I198,J197+I198)</f>
        <v>818000</v>
      </c>
    </row>
  </sheetData>
  <sheetProtection selectLockedCells="1" pivotTables="0"/>
  <protectedRanges>
    <protectedRange sqref="O13 P12:P13 O1:P11 C9:D15 C1:D7 B1:B16 B18:B19 F1:K9 E1:E4 E6:E70 Q1:U70 O15:P70 A1:A70 F10:I70 J10:K72 E71:I72 B22:B70 A71:B1048576 O71:U1048576 C19:D1048576 E73:K1048576" name="Rango1"/>
  </protectedRanges>
  <mergeCells count="2">
    <mergeCell ref="L7:M7"/>
    <mergeCell ref="F1:J2"/>
  </mergeCells>
  <conditionalFormatting sqref="H8:H24">
    <cfRule type="cellIs" dxfId="62" priority="1" operator="equal">
      <formula>"""GASTO"""</formula>
    </cfRule>
  </conditionalFormatting>
  <dataValidations disablePrompts="1" count="1">
    <dataValidation type="date" allowBlank="1" showInputMessage="1" showErrorMessage="1" errorTitle="CORRIJE LA FECHA" sqref="F8:F54" xr:uid="{C3AB78BF-C1A4-4890-A166-7D659394330B}">
      <formula1>F8</formula1>
      <formula2>TODAY()</formula2>
    </dataValidation>
  </dataValidations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96517-43D9-45C8-A88B-7D67F311320E}">
  <sheetPr codeName="Hoja2">
    <tabColor theme="3" tint="0.39997558519241921"/>
  </sheetPr>
  <dimension ref="A1:Z65"/>
  <sheetViews>
    <sheetView showGridLines="0" showRowColHeaders="0" zoomScale="78" zoomScaleNormal="84" workbookViewId="0">
      <selection activeCell="C6" sqref="C6"/>
    </sheetView>
  </sheetViews>
  <sheetFormatPr baseColWidth="10" defaultColWidth="0" defaultRowHeight="18" zeroHeight="1" x14ac:dyDescent="0.35"/>
  <cols>
    <col min="1" max="1" width="34.109375" style="15" customWidth="1"/>
    <col min="2" max="2" width="22.6640625" style="15" bestFit="1" customWidth="1"/>
    <col min="3" max="3" width="18.5546875" style="15" customWidth="1"/>
    <col min="4" max="4" width="15.21875" style="15" bestFit="1" customWidth="1"/>
    <col min="5" max="14" width="11.5546875" style="15" customWidth="1"/>
    <col min="15" max="16384" width="11.5546875" style="15" hidden="1"/>
  </cols>
  <sheetData>
    <row r="1" spans="1:26" x14ac:dyDescent="0.35"/>
    <row r="2" spans="1:26" ht="18.75" thickBot="1" x14ac:dyDescent="0.4"/>
    <row r="3" spans="1:26" ht="22.5" x14ac:dyDescent="0.4">
      <c r="A3" s="30" t="s">
        <v>35</v>
      </c>
      <c r="B3" s="31">
        <v>2026</v>
      </c>
    </row>
    <row r="4" spans="1:26" ht="22.5" x14ac:dyDescent="0.4">
      <c r="A4" s="32" t="s">
        <v>54</v>
      </c>
      <c r="B4" s="33" t="s">
        <v>64</v>
      </c>
    </row>
    <row r="5" spans="1:26" ht="22.5" x14ac:dyDescent="0.4">
      <c r="A5" s="32" t="s">
        <v>55</v>
      </c>
      <c r="B5" s="34">
        <v>500000</v>
      </c>
    </row>
    <row r="6" spans="1:26" ht="22.5" x14ac:dyDescent="0.4">
      <c r="A6" s="35" t="s">
        <v>72</v>
      </c>
      <c r="B6" s="36">
        <f>SUM(B15,B19,B23)</f>
        <v>299400</v>
      </c>
    </row>
    <row r="7" spans="1:26" ht="23.25" thickBot="1" x14ac:dyDescent="0.45">
      <c r="A7" s="37" t="s">
        <v>73</v>
      </c>
      <c r="B7" s="38">
        <f>(B5-B6)/B5</f>
        <v>0.4012</v>
      </c>
    </row>
    <row r="8" spans="1:26" x14ac:dyDescent="0.35">
      <c r="Z8" s="16">
        <v>2025</v>
      </c>
    </row>
    <row r="9" spans="1:26" x14ac:dyDescent="0.35">
      <c r="Z9" s="16"/>
    </row>
    <row r="10" spans="1:26" ht="18.75" thickBot="1" x14ac:dyDescent="0.4">
      <c r="Z10" s="16"/>
    </row>
    <row r="11" spans="1:26" ht="22.5" x14ac:dyDescent="0.4">
      <c r="A11" s="39" t="s">
        <v>53</v>
      </c>
      <c r="B11" s="40" t="s">
        <v>70</v>
      </c>
      <c r="C11" s="40" t="s">
        <v>71</v>
      </c>
      <c r="D11" s="40" t="s">
        <v>56</v>
      </c>
      <c r="E11" s="41" t="s">
        <v>74</v>
      </c>
      <c r="Z11" s="16">
        <v>2026</v>
      </c>
    </row>
    <row r="12" spans="1:26" ht="22.5" x14ac:dyDescent="0.4">
      <c r="A12" s="42" t="s">
        <v>22</v>
      </c>
      <c r="B12" s="43"/>
      <c r="C12" s="43"/>
      <c r="D12" s="43"/>
      <c r="E12" s="44"/>
      <c r="Z12" s="16">
        <v>2027</v>
      </c>
    </row>
    <row r="13" spans="1:26" ht="22.5" x14ac:dyDescent="0.4">
      <c r="A13" s="45" t="s">
        <v>60</v>
      </c>
      <c r="B13" s="46">
        <v>12900</v>
      </c>
      <c r="C13" s="47">
        <f>B13/2</f>
        <v>6450</v>
      </c>
      <c r="D13" s="47">
        <f>_xlfn.IFNA(VLOOKUP(A13,'TABLA GASTOS PRE'!$1:$1048576,MATCH(LEFT($B$4,3),'TABLA GASTOS PRE'!$3:$3,0),FALSE),0)</f>
        <v>12900</v>
      </c>
      <c r="E13" s="48">
        <f>IFERROR(D13/B13,0)</f>
        <v>1</v>
      </c>
      <c r="Z13" s="16">
        <v>2028</v>
      </c>
    </row>
    <row r="14" spans="1:26" ht="22.5" x14ac:dyDescent="0.4">
      <c r="A14" s="45" t="s">
        <v>61</v>
      </c>
      <c r="B14" s="46">
        <v>8500</v>
      </c>
      <c r="C14" s="47">
        <f t="shared" ref="C14" si="0">B14/2</f>
        <v>4250</v>
      </c>
      <c r="D14" s="47">
        <f>_xlfn.IFNA(VLOOKUP(A14,'TABLA GASTOS PRE'!$1:$1048576,MATCH(LEFT($B$4,3),'TABLA GASTOS PRE'!$3:$3,0),FALSE),0)</f>
        <v>8500</v>
      </c>
      <c r="E14" s="48">
        <f t="shared" ref="E14:E19" si="1">IFERROR(D14/B14,0)</f>
        <v>1</v>
      </c>
      <c r="Z14" s="16">
        <v>2029</v>
      </c>
    </row>
    <row r="15" spans="1:26" ht="22.5" x14ac:dyDescent="0.4">
      <c r="A15" s="49" t="s">
        <v>0</v>
      </c>
      <c r="B15" s="46">
        <f>SUM(B13:B14)</f>
        <v>21400</v>
      </c>
      <c r="C15" s="47">
        <f>SUM(C13:C14)</f>
        <v>10700</v>
      </c>
      <c r="D15" s="47">
        <f>SUM(D13:D14)</f>
        <v>21400</v>
      </c>
      <c r="E15" s="48">
        <f t="shared" si="1"/>
        <v>1</v>
      </c>
      <c r="Z15" s="16">
        <v>2030</v>
      </c>
    </row>
    <row r="16" spans="1:26" ht="22.5" x14ac:dyDescent="0.4">
      <c r="A16" s="42" t="s">
        <v>57</v>
      </c>
      <c r="B16" s="43"/>
      <c r="C16" s="43"/>
      <c r="D16" s="43"/>
      <c r="E16" s="50"/>
      <c r="Z16" s="16">
        <v>2031</v>
      </c>
    </row>
    <row r="17" spans="1:26" ht="22.5" x14ac:dyDescent="0.4">
      <c r="A17" s="45" t="s">
        <v>23</v>
      </c>
      <c r="B17" s="46">
        <v>20000</v>
      </c>
      <c r="C17" s="46">
        <f t="shared" ref="C17:C18" si="2">B17/2</f>
        <v>10000</v>
      </c>
      <c r="D17" s="46">
        <f>_xlfn.IFNA(VLOOKUP(A17,'TABLA GASTOS PRE'!$1:$1048576,MATCH(LEFT($B$4,3),'TABLA GASTOS PRE'!$3:$3,0),FALSE),0)</f>
        <v>81600</v>
      </c>
      <c r="E17" s="51">
        <f t="shared" si="1"/>
        <v>4.08</v>
      </c>
      <c r="Z17" s="16">
        <v>2032</v>
      </c>
    </row>
    <row r="18" spans="1:26" ht="22.5" x14ac:dyDescent="0.4">
      <c r="A18" s="45" t="s">
        <v>8</v>
      </c>
      <c r="B18" s="46">
        <v>180000</v>
      </c>
      <c r="C18" s="46">
        <f t="shared" si="2"/>
        <v>90000</v>
      </c>
      <c r="D18" s="46">
        <f>_xlfn.IFNA(VLOOKUP(A18,'TABLA GASTOS PRE'!$1:$1048576,MATCH(LEFT($B$4,3),'TABLA GASTOS PRE'!$3:$3,0),FALSE),0)</f>
        <v>236100</v>
      </c>
      <c r="E18" s="51">
        <f t="shared" si="1"/>
        <v>1.3116666666666668</v>
      </c>
      <c r="Z18" s="16">
        <v>2033</v>
      </c>
    </row>
    <row r="19" spans="1:26" ht="22.5" x14ac:dyDescent="0.4">
      <c r="A19" s="49" t="s">
        <v>0</v>
      </c>
      <c r="B19" s="46">
        <f>SUM(B17:B18)</f>
        <v>200000</v>
      </c>
      <c r="C19" s="46">
        <f>SUM(C17:C18)</f>
        <v>100000</v>
      </c>
      <c r="D19" s="46">
        <f>SUM(D17:D18)</f>
        <v>317700</v>
      </c>
      <c r="E19" s="51">
        <f t="shared" si="1"/>
        <v>1.5885</v>
      </c>
      <c r="Z19" s="16">
        <v>2034</v>
      </c>
    </row>
    <row r="20" spans="1:26" ht="22.5" x14ac:dyDescent="0.4">
      <c r="A20" s="42" t="s">
        <v>58</v>
      </c>
      <c r="B20" s="43"/>
      <c r="C20" s="43"/>
      <c r="D20" s="43"/>
      <c r="E20" s="50"/>
      <c r="Z20" s="16">
        <v>2035</v>
      </c>
    </row>
    <row r="21" spans="1:26" ht="22.5" x14ac:dyDescent="0.4">
      <c r="A21" s="45" t="s">
        <v>2</v>
      </c>
      <c r="B21" s="46">
        <v>70000</v>
      </c>
      <c r="C21" s="46">
        <f t="shared" ref="C21:C22" si="3">B21/2</f>
        <v>35000</v>
      </c>
      <c r="D21" s="46">
        <f>_xlfn.IFNA(VLOOKUP(A21,'TABLA GASTOS PRE'!$1:$1048576,MATCH(LEFT($B$4,3),'TABLA GASTOS PRE'!$3:$3,0),FALSE),0)</f>
        <v>70800</v>
      </c>
      <c r="E21" s="51">
        <f t="shared" ref="E21:E23" si="4">IFERROR(D21/B21,0)</f>
        <v>1.0114285714285713</v>
      </c>
      <c r="Z21" s="16">
        <v>2036</v>
      </c>
    </row>
    <row r="22" spans="1:26" ht="22.5" x14ac:dyDescent="0.4">
      <c r="A22" s="45" t="s">
        <v>50</v>
      </c>
      <c r="B22" s="46">
        <v>8000</v>
      </c>
      <c r="C22" s="46">
        <f t="shared" si="3"/>
        <v>4000</v>
      </c>
      <c r="D22" s="46">
        <f>_xlfn.IFNA(VLOOKUP(A22,'TABLA GASTOS PRE'!$1:$1048576,MATCH(LEFT($B$4,3),'TABLA GASTOS PRE'!$3:$3,0),FALSE),0)</f>
        <v>18743</v>
      </c>
      <c r="E22" s="51">
        <f t="shared" si="4"/>
        <v>2.3428749999999998</v>
      </c>
      <c r="Z22" s="16">
        <v>2037</v>
      </c>
    </row>
    <row r="23" spans="1:26" ht="22.5" x14ac:dyDescent="0.4">
      <c r="A23" s="49" t="s">
        <v>0</v>
      </c>
      <c r="B23" s="46">
        <f>SUM(B21:B22)</f>
        <v>78000</v>
      </c>
      <c r="C23" s="46">
        <f>SUM(C21:C22)</f>
        <v>39000</v>
      </c>
      <c r="D23" s="46">
        <f>SUM(D21:D22)</f>
        <v>89543</v>
      </c>
      <c r="E23" s="51">
        <f t="shared" si="4"/>
        <v>1.1479871794871794</v>
      </c>
      <c r="Z23" s="16">
        <v>2038</v>
      </c>
    </row>
    <row r="24" spans="1:26" ht="22.5" x14ac:dyDescent="0.4">
      <c r="A24" s="42" t="s">
        <v>59</v>
      </c>
      <c r="B24" s="52"/>
      <c r="C24" s="52"/>
      <c r="D24" s="52"/>
      <c r="E24" s="53"/>
      <c r="Z24" s="16">
        <v>2039</v>
      </c>
    </row>
    <row r="25" spans="1:26" ht="22.5" x14ac:dyDescent="0.4">
      <c r="A25" s="45" t="s">
        <v>9</v>
      </c>
      <c r="B25" s="46">
        <v>0</v>
      </c>
      <c r="C25" s="46">
        <f t="shared" ref="C25" si="5">B25/2</f>
        <v>0</v>
      </c>
      <c r="D25" s="46">
        <f>_xlfn.IFNA(VLOOKUP(A25,'TABLA GASTOS PRE'!$1:$1048576,MATCH(LEFT($B$4,3),'TABLA GASTOS PRE'!$3:$3,0),FALSE),0)</f>
        <v>0</v>
      </c>
      <c r="E25" s="51">
        <f t="shared" ref="E25:E26" si="6">IFERROR(D25/B25,0)</f>
        <v>0</v>
      </c>
      <c r="Z25" s="16">
        <v>2040</v>
      </c>
    </row>
    <row r="26" spans="1:26" ht="23.25" thickBot="1" x14ac:dyDescent="0.45">
      <c r="A26" s="54" t="s">
        <v>0</v>
      </c>
      <c r="B26" s="55">
        <f>SUM(B24:B25)</f>
        <v>0</v>
      </c>
      <c r="C26" s="55">
        <f t="shared" ref="C26" si="7">SUM(C24:C25)</f>
        <v>0</v>
      </c>
      <c r="D26" s="55">
        <f>SUM(D24:D25)</f>
        <v>0</v>
      </c>
      <c r="E26" s="56">
        <f t="shared" si="6"/>
        <v>0</v>
      </c>
      <c r="Z26" s="16">
        <v>2041</v>
      </c>
    </row>
    <row r="27" spans="1:26" x14ac:dyDescent="0.35">
      <c r="Z27" s="16">
        <v>2042</v>
      </c>
    </row>
    <row r="28" spans="1:26" x14ac:dyDescent="0.35">
      <c r="Z28" s="16">
        <v>2043</v>
      </c>
    </row>
    <row r="29" spans="1:26" x14ac:dyDescent="0.35">
      <c r="Z29" s="16">
        <v>2044</v>
      </c>
    </row>
    <row r="30" spans="1:26" x14ac:dyDescent="0.35">
      <c r="Z30" s="16">
        <v>2045</v>
      </c>
    </row>
    <row r="31" spans="1:26" x14ac:dyDescent="0.35">
      <c r="Z31" s="16">
        <v>2046</v>
      </c>
    </row>
    <row r="32" spans="1:26" x14ac:dyDescent="0.35">
      <c r="Z32" s="16">
        <v>2047</v>
      </c>
    </row>
    <row r="33" spans="26:26" x14ac:dyDescent="0.35">
      <c r="Z33" s="16">
        <v>2048</v>
      </c>
    </row>
    <row r="34" spans="26:26" x14ac:dyDescent="0.35">
      <c r="Z34" s="16">
        <v>2049</v>
      </c>
    </row>
    <row r="35" spans="26:26" x14ac:dyDescent="0.35">
      <c r="Z35" s="16">
        <v>2050</v>
      </c>
    </row>
    <row r="36" spans="26:26" x14ac:dyDescent="0.35">
      <c r="Z36" s="16">
        <v>2051</v>
      </c>
    </row>
    <row r="37" spans="26:26" x14ac:dyDescent="0.35">
      <c r="Z37" s="16">
        <v>2052</v>
      </c>
    </row>
    <row r="38" spans="26:26" hidden="1" x14ac:dyDescent="0.35">
      <c r="Z38" s="16">
        <v>2053</v>
      </c>
    </row>
    <row r="39" spans="26:26" hidden="1" x14ac:dyDescent="0.35">
      <c r="Z39" s="16">
        <v>2054</v>
      </c>
    </row>
    <row r="40" spans="26:26" hidden="1" x14ac:dyDescent="0.35">
      <c r="Z40" s="16">
        <v>2055</v>
      </c>
    </row>
    <row r="41" spans="26:26" hidden="1" x14ac:dyDescent="0.35">
      <c r="Z41" s="16">
        <v>2056</v>
      </c>
    </row>
    <row r="42" spans="26:26" hidden="1" x14ac:dyDescent="0.35">
      <c r="Z42" s="16">
        <v>2057</v>
      </c>
    </row>
    <row r="43" spans="26:26" hidden="1" x14ac:dyDescent="0.35">
      <c r="Z43" s="16">
        <v>2058</v>
      </c>
    </row>
    <row r="44" spans="26:26" hidden="1" x14ac:dyDescent="0.35">
      <c r="Z44" s="16">
        <v>2059</v>
      </c>
    </row>
    <row r="45" spans="26:26" hidden="1" x14ac:dyDescent="0.35">
      <c r="Z45" s="16">
        <v>2060</v>
      </c>
    </row>
    <row r="46" spans="26:26" hidden="1" x14ac:dyDescent="0.35">
      <c r="Z46" s="16">
        <v>2061</v>
      </c>
    </row>
    <row r="47" spans="26:26" hidden="1" x14ac:dyDescent="0.35">
      <c r="Z47" s="16">
        <v>2062</v>
      </c>
    </row>
    <row r="48" spans="26:26" hidden="1" x14ac:dyDescent="0.35">
      <c r="Z48" s="16">
        <v>2063</v>
      </c>
    </row>
    <row r="49" spans="26:26" hidden="1" x14ac:dyDescent="0.35">
      <c r="Z49" s="16">
        <v>2064</v>
      </c>
    </row>
    <row r="50" spans="26:26" hidden="1" x14ac:dyDescent="0.35">
      <c r="Z50" s="16">
        <v>2065</v>
      </c>
    </row>
    <row r="51" spans="26:26" hidden="1" x14ac:dyDescent="0.35">
      <c r="Z51" s="16">
        <v>2066</v>
      </c>
    </row>
    <row r="52" spans="26:26" hidden="1" x14ac:dyDescent="0.35">
      <c r="Z52" s="16">
        <v>2067</v>
      </c>
    </row>
    <row r="53" spans="26:26" hidden="1" x14ac:dyDescent="0.35">
      <c r="Z53" s="16">
        <v>2068</v>
      </c>
    </row>
    <row r="54" spans="26:26" hidden="1" x14ac:dyDescent="0.35">
      <c r="Z54" s="16">
        <v>2069</v>
      </c>
    </row>
    <row r="55" spans="26:26" hidden="1" x14ac:dyDescent="0.35">
      <c r="Z55" s="16">
        <v>2070</v>
      </c>
    </row>
    <row r="56" spans="26:26" hidden="1" x14ac:dyDescent="0.35">
      <c r="Z56" s="16">
        <v>2071</v>
      </c>
    </row>
    <row r="57" spans="26:26" hidden="1" x14ac:dyDescent="0.35">
      <c r="Z57" s="16">
        <v>2072</v>
      </c>
    </row>
    <row r="58" spans="26:26" hidden="1" x14ac:dyDescent="0.35">
      <c r="Z58" s="16">
        <v>2073</v>
      </c>
    </row>
    <row r="59" spans="26:26" hidden="1" x14ac:dyDescent="0.35">
      <c r="Z59" s="16">
        <v>2074</v>
      </c>
    </row>
    <row r="60" spans="26:26" hidden="1" x14ac:dyDescent="0.35">
      <c r="Z60" s="16">
        <v>2075</v>
      </c>
    </row>
    <row r="61" spans="26:26" hidden="1" x14ac:dyDescent="0.35">
      <c r="Z61" s="16">
        <v>2076</v>
      </c>
    </row>
    <row r="62" spans="26:26" hidden="1" x14ac:dyDescent="0.35">
      <c r="Z62" s="16">
        <v>2077</v>
      </c>
    </row>
    <row r="63" spans="26:26" hidden="1" x14ac:dyDescent="0.35">
      <c r="Z63" s="16">
        <v>2078</v>
      </c>
    </row>
    <row r="64" spans="26:26" hidden="1" x14ac:dyDescent="0.35">
      <c r="Z64" s="16">
        <v>2079</v>
      </c>
    </row>
    <row r="65" spans="26:26" hidden="1" x14ac:dyDescent="0.35">
      <c r="Z65" s="16">
        <v>2080</v>
      </c>
    </row>
  </sheetData>
  <conditionalFormatting sqref="E13:E15 E17:E19 E21:E23 E25:E26">
    <cfRule type="colorScale" priority="3">
      <colorScale>
        <cfvo type="percent" val="0"/>
        <cfvo type="percent" val="50"/>
        <cfvo type="percent" val="100"/>
        <color rgb="FF33CC33"/>
        <color rgb="FFFFEB84"/>
        <color rgb="FFE16651"/>
      </colorScale>
    </cfRule>
  </conditionalFormatting>
  <conditionalFormatting sqref="E13:E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E19 E21:E23 E25: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4" xr:uid="{87B8A216-DF69-4167-BF43-98F85348DE6A}">
      <formula1>MESES</formula1>
    </dataValidation>
    <dataValidation type="list" allowBlank="1" showInputMessage="1" showErrorMessage="1" sqref="B3" xr:uid="{281B5734-E97A-4D68-A0DC-77BB9B37FC3C}">
      <formula1>$Z$8:$Z$65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104BF-D38B-458E-8DB6-D05BE5F83500}">
  <sheetPr codeName="Hoja3">
    <tabColor theme="6" tint="-0.249977111117893"/>
  </sheetPr>
  <dimension ref="A1:CV37"/>
  <sheetViews>
    <sheetView showRowColHeaders="0" topLeftCell="C1" zoomScale="16" zoomScaleNormal="20" workbookViewId="0">
      <selection activeCell="D19" sqref="D19"/>
    </sheetView>
  </sheetViews>
  <sheetFormatPr baseColWidth="10" defaultColWidth="0" defaultRowHeight="40.5" customHeight="1" zeroHeight="1" x14ac:dyDescent="0.35"/>
  <cols>
    <col min="1" max="1" width="36.77734375" customWidth="1"/>
    <col min="2" max="2" width="62.33203125" customWidth="1"/>
    <col min="3" max="3" width="66.109375" bestFit="1" customWidth="1"/>
    <col min="4" max="4" width="124.44140625" bestFit="1" customWidth="1"/>
    <col min="5" max="5" width="15" customWidth="1"/>
    <col min="6" max="6" width="27.6640625" customWidth="1"/>
    <col min="7" max="7" width="69.109375" bestFit="1" customWidth="1"/>
    <col min="8" max="8" width="70.44140625" bestFit="1" customWidth="1"/>
    <col min="9" max="11" width="9.109375" customWidth="1"/>
    <col min="12" max="12" width="77.109375" bestFit="1" customWidth="1"/>
    <col min="13" max="13" width="55.6640625" bestFit="1" customWidth="1"/>
    <col min="14" max="16" width="9" customWidth="1"/>
    <col min="17" max="17" width="88.21875" bestFit="1" customWidth="1"/>
    <col min="18" max="18" width="62.109375" bestFit="1" customWidth="1"/>
    <col min="19" max="19" width="7.77734375" customWidth="1"/>
    <col min="20" max="100" width="11.5546875" customWidth="1"/>
    <col min="101" max="16384" width="11.5546875" hidden="1"/>
  </cols>
  <sheetData>
    <row r="1" spans="1:62" ht="111.75" x14ac:dyDescent="0.35">
      <c r="A1" s="88" t="s">
        <v>65</v>
      </c>
      <c r="B1" s="88"/>
      <c r="C1" s="89"/>
      <c r="D1" s="89"/>
      <c r="E1" s="5"/>
      <c r="F1" s="5"/>
      <c r="G1" s="5"/>
      <c r="H1" s="5"/>
      <c r="I1" s="5"/>
    </row>
    <row r="2" spans="1:62" ht="141" customHeight="1" x14ac:dyDescent="0.35">
      <c r="A2" s="90" t="s">
        <v>35</v>
      </c>
      <c r="B2" s="90"/>
      <c r="C2" s="91"/>
      <c r="D2" s="92"/>
      <c r="E2" s="5"/>
      <c r="F2" s="5"/>
      <c r="G2" s="5"/>
      <c r="H2" s="5"/>
      <c r="I2" s="5"/>
    </row>
    <row r="3" spans="1:62" ht="17.25" customHeight="1" x14ac:dyDescent="0.8">
      <c r="A3" s="6"/>
      <c r="B3" s="6"/>
      <c r="C3" s="6"/>
      <c r="D3" s="6"/>
      <c r="E3" s="5"/>
      <c r="F3" s="5"/>
      <c r="G3" s="5"/>
      <c r="H3" s="5"/>
      <c r="I3" s="5"/>
    </row>
    <row r="4" spans="1:62" ht="64.5" customHeight="1" x14ac:dyDescent="0.35">
      <c r="A4" s="93" t="s">
        <v>34</v>
      </c>
      <c r="B4" s="93"/>
      <c r="C4" s="93"/>
      <c r="D4" s="93"/>
      <c r="E4" s="5"/>
      <c r="G4" s="5"/>
      <c r="H4" s="5"/>
      <c r="I4" s="5"/>
    </row>
    <row r="5" spans="1:62" s="6" customFormat="1" ht="44.25" customHeight="1" x14ac:dyDescent="0.8">
      <c r="A5" s="94"/>
      <c r="B5" s="94"/>
      <c r="C5" s="94"/>
      <c r="D5" s="94"/>
      <c r="BJ5"/>
    </row>
    <row r="6" spans="1:62" s="6" customFormat="1" ht="111.75" x14ac:dyDescent="1.9">
      <c r="A6" s="96" t="s">
        <v>26</v>
      </c>
      <c r="B6" s="96"/>
      <c r="C6" s="17" t="s">
        <v>27</v>
      </c>
      <c r="D6" s="17" t="s">
        <v>28</v>
      </c>
    </row>
    <row r="7" spans="1:62" s="6" customFormat="1" ht="111.75" x14ac:dyDescent="1.9">
      <c r="A7" s="97" t="s">
        <v>38</v>
      </c>
      <c r="B7" s="97"/>
      <c r="C7" s="18">
        <v>500000</v>
      </c>
      <c r="D7" s="19">
        <f>SECCION_INGRESOS[[#Totals],[AMOUNT]]</f>
        <v>626535</v>
      </c>
      <c r="E7" s="7"/>
      <c r="F7" s="7"/>
      <c r="G7" s="7"/>
      <c r="H7" s="7"/>
      <c r="I7" s="7"/>
    </row>
    <row r="8" spans="1:62" s="6" customFormat="1" ht="111.75" x14ac:dyDescent="1.9">
      <c r="A8" s="97" t="s">
        <v>32</v>
      </c>
      <c r="B8" s="97"/>
      <c r="C8" s="20">
        <f>C7*$C$14</f>
        <v>300000</v>
      </c>
      <c r="D8" s="19">
        <f>GASTOS_FIJOS[[#Totals],[AMOUNT]]+GASTOS_VARIABLES[[#Totals],[AMOUNT]]</f>
        <v>428643</v>
      </c>
      <c r="E8" s="7"/>
      <c r="F8" s="7"/>
      <c r="G8" s="7"/>
      <c r="H8" s="7"/>
      <c r="I8" s="7"/>
    </row>
    <row r="9" spans="1:62" s="6" customFormat="1" ht="111.75" x14ac:dyDescent="1.9">
      <c r="A9" s="97" t="s">
        <v>33</v>
      </c>
      <c r="B9" s="97"/>
      <c r="C9" s="20">
        <f>C7*$C$13</f>
        <v>200000</v>
      </c>
      <c r="D9" s="19">
        <f>SECCION_INGRESOS[[#Totals],[AMOUNT]]-GASTOS_FIJOS[[#Totals],[AMOUNT]]-GASTOS_VARIABLES[[#Totals],[AMOUNT]]</f>
        <v>197892</v>
      </c>
      <c r="E9" s="8"/>
      <c r="F9" s="8"/>
      <c r="G9" s="8"/>
      <c r="H9" s="8"/>
      <c r="I9" s="8"/>
    </row>
    <row r="10" spans="1:62" s="6" customFormat="1" ht="111.75" x14ac:dyDescent="1.9">
      <c r="A10" s="21"/>
      <c r="B10" s="21"/>
      <c r="C10" s="21"/>
      <c r="D10" s="21"/>
    </row>
    <row r="11" spans="1:62" s="6" customFormat="1" ht="66" customHeight="1" x14ac:dyDescent="1.9">
      <c r="A11" s="21"/>
      <c r="B11" s="21"/>
      <c r="C11" s="21"/>
      <c r="D11" s="21"/>
    </row>
    <row r="12" spans="1:62" s="6" customFormat="1" ht="111.75" x14ac:dyDescent="1.9">
      <c r="A12" s="98" t="s">
        <v>29</v>
      </c>
      <c r="B12" s="98"/>
      <c r="C12" s="22" t="s">
        <v>27</v>
      </c>
      <c r="D12" s="22" t="s">
        <v>48</v>
      </c>
    </row>
    <row r="13" spans="1:62" s="6" customFormat="1" ht="111.75" x14ac:dyDescent="1.9">
      <c r="A13" s="97" t="s">
        <v>30</v>
      </c>
      <c r="B13" s="97"/>
      <c r="C13" s="23">
        <v>0.4</v>
      </c>
      <c r="D13" s="24">
        <f>IFERROR(D9/D7,0)</f>
        <v>0.31585146879264525</v>
      </c>
    </row>
    <row r="14" spans="1:62" s="6" customFormat="1" ht="111.75" x14ac:dyDescent="1.9">
      <c r="A14" s="97" t="s">
        <v>31</v>
      </c>
      <c r="B14" s="97"/>
      <c r="C14" s="23">
        <v>0.6</v>
      </c>
      <c r="D14" s="24">
        <f>IFERROR(D8/D7,0)</f>
        <v>0.68414853120735475</v>
      </c>
    </row>
    <row r="15" spans="1:62" s="6" customFormat="1" ht="44.25" x14ac:dyDescent="0.8">
      <c r="G15" s="95" t="s">
        <v>37</v>
      </c>
      <c r="H15" s="95"/>
      <c r="L15" s="95" t="s">
        <v>39</v>
      </c>
      <c r="M15" s="95"/>
      <c r="Q15" s="95" t="s">
        <v>40</v>
      </c>
      <c r="R15" s="95"/>
    </row>
    <row r="16" spans="1:62" s="6" customFormat="1" ht="44.25" x14ac:dyDescent="0.8">
      <c r="G16" s="95"/>
      <c r="H16" s="95"/>
      <c r="L16" s="95"/>
      <c r="M16" s="95"/>
      <c r="Q16" s="95"/>
      <c r="R16" s="95"/>
    </row>
    <row r="17" spans="5:27" s="6" customFormat="1" ht="44.25" x14ac:dyDescent="0.8">
      <c r="AA17" s="14"/>
    </row>
    <row r="18" spans="5:27" s="6" customFormat="1" ht="127.5" customHeight="1" x14ac:dyDescent="1.9">
      <c r="G18" s="26" t="s">
        <v>26</v>
      </c>
      <c r="H18" s="26" t="s">
        <v>36</v>
      </c>
      <c r="L18" s="26" t="s">
        <v>26</v>
      </c>
      <c r="M18" s="26" t="s">
        <v>36</v>
      </c>
      <c r="Q18" s="26" t="s">
        <v>26</v>
      </c>
      <c r="R18" s="26" t="s">
        <v>36</v>
      </c>
    </row>
    <row r="19" spans="5:27" s="6" customFormat="1" ht="127.5" customHeight="1" x14ac:dyDescent="1.9">
      <c r="G19" s="26" t="s">
        <v>24</v>
      </c>
      <c r="H19" s="28">
        <f>_xlfn.IFNA(VLOOKUP(SECCION_INGRESOS[[#This Row],[TYPE]],'TABLA INGRESOS PRE'!$1:$1048576,MATCH(LEFT(LOWER($A$1),3),'TABLA INGRESOS PRE'!$3:$3,0),FALSE),0)</f>
        <v>126535</v>
      </c>
      <c r="L19" s="26" t="s">
        <v>60</v>
      </c>
      <c r="M19" s="28">
        <f>_xlfn.IFNA(VLOOKUP(L19,'TABLA GASTOS PRE'!$1:$1048576,MATCH(LEFT($A$1,3),'TABLA GASTOS PRE'!$3:$3,0),FALSE),0)</f>
        <v>12900</v>
      </c>
      <c r="Q19" s="26" t="s">
        <v>50</v>
      </c>
      <c r="R19" s="28">
        <f>_xlfn.IFNA(VLOOKUP(Q19,'TABLA GASTOS PRE'!$1:$1048576,MATCH(LEFT($A$1,3),'TABLA GASTOS PRE'!$3:$3,0),FALSE),0)</f>
        <v>18743</v>
      </c>
    </row>
    <row r="20" spans="5:27" s="6" customFormat="1" ht="127.5" customHeight="1" x14ac:dyDescent="1.9">
      <c r="G20" s="26" t="s">
        <v>3</v>
      </c>
      <c r="H20" s="28">
        <f>_xlfn.IFNA(VLOOKUP(SECCION_INGRESOS[[#This Row],[TYPE]],'TABLA INGRESOS PRE'!$1:$1048576,MATCH(LEFT(LOWER($A$1),3),'TABLA INGRESOS PRE'!$3:$3,0),FALSE),0)</f>
        <v>500000</v>
      </c>
      <c r="L20" s="26" t="s">
        <v>61</v>
      </c>
      <c r="M20" s="28">
        <f>_xlfn.IFNA(VLOOKUP(L20,'TABLA GASTOS PRE'!$1:$1048576,MATCH(LEFT($A$1,3),'TABLA GASTOS PRE'!$3:$3,0),FALSE),0)</f>
        <v>8500</v>
      </c>
      <c r="Q20" s="26" t="s">
        <v>2</v>
      </c>
      <c r="R20" s="28">
        <f>_xlfn.IFNA(VLOOKUP(Q20,'TABLA GASTOS PRE'!$1:$1048576,MATCH(LEFT($A$1,3),'TABLA GASTOS PRE'!$3:$3,0),FALSE),0)</f>
        <v>70800</v>
      </c>
    </row>
    <row r="21" spans="5:27" s="6" customFormat="1" ht="127.5" customHeight="1" x14ac:dyDescent="1.9">
      <c r="E21" s="9"/>
      <c r="F21" s="9"/>
      <c r="G21" s="26" t="s">
        <v>11</v>
      </c>
      <c r="H21" s="28">
        <f>_xlfn.IFNA(VLOOKUP(SECCION_INGRESOS[[#This Row],[TYPE]],'TABLA INGRESOS PRE'!$1:$1048576,MATCH(LEFT(LOWER($A$1),3),'TABLA INGRESOS PRE'!$3:$3,0),FALSE),0)</f>
        <v>0</v>
      </c>
      <c r="I21" s="9"/>
      <c r="L21" s="26" t="s">
        <v>22</v>
      </c>
      <c r="M21" s="28">
        <f>_xlfn.IFNA(VLOOKUP(L21,'TABLA GASTOS PRE'!$1:$1048576,MATCH(LEFT($A$1,3),'TABLA GASTOS PRE'!$3:$3,0),FALSE),0)</f>
        <v>0</v>
      </c>
      <c r="Q21" s="26" t="s">
        <v>8</v>
      </c>
      <c r="R21" s="28">
        <f>_xlfn.IFNA(VLOOKUP(Q21,'TABLA GASTOS PRE'!$1:$1048576,MATCH(LEFT($A$1,3),'TABLA GASTOS PRE'!$3:$3,0),FALSE),0)</f>
        <v>236100</v>
      </c>
    </row>
    <row r="22" spans="5:27" s="6" customFormat="1" ht="127.5" customHeight="1" x14ac:dyDescent="1.9">
      <c r="G22" s="26" t="s">
        <v>1</v>
      </c>
      <c r="H22" s="28">
        <f>_xlfn.IFNA(VLOOKUP(SECCION_INGRESOS[[#This Row],[TYPE]],'TABLA INGRESOS PRE'!$1:$1048576,MATCH(LEFT(LOWER($A$1),3),'TABLA INGRESOS PRE'!$3:$3,0),FALSE),0)</f>
        <v>0</v>
      </c>
      <c r="L22" s="26" t="s">
        <v>15</v>
      </c>
      <c r="M22" s="29">
        <f>SUBTOTAL(109,GASTOS_FIJOS[AMOUNT])</f>
        <v>21400</v>
      </c>
      <c r="Q22" s="26" t="s">
        <v>23</v>
      </c>
      <c r="R22" s="28">
        <f>_xlfn.IFNA(VLOOKUP(Q22,'TABLA GASTOS PRE'!$1:$1048576,MATCH(LEFT($A$1,3),'TABLA GASTOS PRE'!$3:$3,0),FALSE),0)</f>
        <v>81600</v>
      </c>
    </row>
    <row r="23" spans="5:27" s="6" customFormat="1" ht="127.5" customHeight="1" x14ac:dyDescent="1.9">
      <c r="G23" s="26" t="s">
        <v>10</v>
      </c>
      <c r="H23" s="28">
        <f>_xlfn.IFNA(VLOOKUP(SECCION_INGRESOS[[#This Row],[TYPE]],'TABLA INGRESOS PRE'!$1:$1048576,MATCH(LEFT(LOWER($A$1),3),'TABLA INGRESOS PRE'!$3:$3,0),FALSE),0)</f>
        <v>0</v>
      </c>
      <c r="Q23" s="26" t="s">
        <v>9</v>
      </c>
      <c r="R23" s="28">
        <f>_xlfn.IFNA(VLOOKUP(Q23,'TABLA GASTOS PRE'!$1:$1048576,MATCH(LEFT($A$1,3),'TABLA GASTOS PRE'!$3:$3,0),FALSE),0)</f>
        <v>0</v>
      </c>
    </row>
    <row r="24" spans="5:27" s="6" customFormat="1" ht="127.5" customHeight="1" x14ac:dyDescent="1.9">
      <c r="G24" s="26" t="s">
        <v>21</v>
      </c>
      <c r="H24" s="28">
        <f>_xlfn.IFNA(VLOOKUP(SECCION_INGRESOS[[#This Row],[TYPE]],'TABLA INGRESOS PRE'!$1:$1048576,MATCH(LEFT(LOWER($A$1),3),'TABLA INGRESOS PRE'!$3:$3,0),FALSE),0)</f>
        <v>0</v>
      </c>
      <c r="I24" s="25"/>
      <c r="J24" s="26"/>
      <c r="K24" s="26"/>
      <c r="N24" s="25"/>
      <c r="O24" s="25"/>
      <c r="P24" s="26"/>
      <c r="Q24" s="26" t="s">
        <v>15</v>
      </c>
      <c r="R24" s="29">
        <f>SUBTOTAL(109,GASTOS_VARIABLES[AMOUNT])</f>
        <v>407243</v>
      </c>
    </row>
    <row r="25" spans="5:27" s="6" customFormat="1" ht="127.5" customHeight="1" x14ac:dyDescent="1.9">
      <c r="G25" s="26" t="s">
        <v>15</v>
      </c>
      <c r="H25" s="29">
        <f>SUBTOTAL(109,SECCION_INGRESOS[AMOUNT])</f>
        <v>626535</v>
      </c>
      <c r="I25" s="25"/>
      <c r="J25" s="26"/>
      <c r="K25" s="27"/>
      <c r="N25" s="25"/>
      <c r="O25" s="25"/>
      <c r="P25" s="26"/>
    </row>
    <row r="26" spans="5:27" s="6" customFormat="1" ht="111.75" x14ac:dyDescent="1.9">
      <c r="I26" s="26"/>
      <c r="J26" s="26"/>
      <c r="K26" s="26"/>
      <c r="N26" s="26"/>
      <c r="O26" s="26"/>
      <c r="P26" s="26"/>
    </row>
    <row r="27" spans="5:27" s="6" customFormat="1" ht="111.75" x14ac:dyDescent="1.9">
      <c r="I27" s="28"/>
      <c r="J27" s="26"/>
      <c r="K27" s="26"/>
      <c r="N27" s="28"/>
      <c r="O27" s="28"/>
      <c r="P27" s="26"/>
    </row>
    <row r="28" spans="5:27" s="6" customFormat="1" ht="111.75" x14ac:dyDescent="1.9">
      <c r="I28" s="28"/>
      <c r="J28" s="26"/>
      <c r="K28" s="26"/>
      <c r="N28" s="28"/>
      <c r="O28" s="28"/>
      <c r="P28" s="26"/>
    </row>
    <row r="29" spans="5:27" s="6" customFormat="1" ht="111.75" x14ac:dyDescent="1.9">
      <c r="F29" s="10"/>
      <c r="I29" s="28"/>
      <c r="J29" s="26"/>
      <c r="K29" s="26"/>
      <c r="N29" s="28"/>
      <c r="O29" s="28"/>
      <c r="P29" s="26"/>
    </row>
    <row r="30" spans="5:27" s="6" customFormat="1" ht="111.75" x14ac:dyDescent="1.9">
      <c r="I30" s="28"/>
      <c r="J30" s="26"/>
      <c r="K30" s="26"/>
      <c r="N30" s="29"/>
      <c r="O30" s="29"/>
      <c r="P30" s="26"/>
    </row>
    <row r="31" spans="5:27" s="6" customFormat="1" ht="111.75" x14ac:dyDescent="1.9">
      <c r="I31" s="28"/>
      <c r="J31" s="26"/>
      <c r="K31" s="26"/>
      <c r="L31" s="26"/>
      <c r="M31" s="26"/>
      <c r="N31" s="26"/>
      <c r="O31" s="26"/>
      <c r="P31" s="26"/>
    </row>
    <row r="32" spans="5:27" s="6" customFormat="1" ht="111.75" x14ac:dyDescent="1.9">
      <c r="I32" s="29"/>
      <c r="J32" s="26"/>
      <c r="K32" s="26"/>
      <c r="L32" s="26"/>
      <c r="M32" s="26"/>
      <c r="N32" s="26"/>
      <c r="O32" s="26"/>
      <c r="P32" s="26"/>
    </row>
    <row r="33" spans="1:18" s="6" customFormat="1" ht="111.75" x14ac:dyDescent="1.9">
      <c r="I33" s="26"/>
      <c r="J33" s="26"/>
      <c r="K33" s="26"/>
      <c r="L33" s="26"/>
      <c r="M33" s="26"/>
      <c r="N33" s="26"/>
      <c r="O33" s="26"/>
      <c r="P33" s="26"/>
      <c r="Q33" s="26"/>
      <c r="R33" s="26"/>
    </row>
    <row r="34" spans="1:18" s="6" customFormat="1" ht="44.25" x14ac:dyDescent="0.8">
      <c r="I34"/>
      <c r="J34"/>
      <c r="K34"/>
      <c r="L34"/>
      <c r="M34"/>
      <c r="N34"/>
      <c r="O34"/>
      <c r="P34"/>
      <c r="Q34"/>
      <c r="R34"/>
    </row>
    <row r="35" spans="1:18" s="6" customFormat="1" ht="44.25" x14ac:dyDescent="0.8">
      <c r="A35"/>
      <c r="B35"/>
      <c r="C35"/>
      <c r="D35"/>
      <c r="G35"/>
      <c r="H35"/>
      <c r="I35"/>
      <c r="J35"/>
      <c r="K35"/>
      <c r="L35"/>
      <c r="M35"/>
      <c r="N35"/>
      <c r="O35"/>
      <c r="P35"/>
      <c r="Q35"/>
      <c r="R35"/>
    </row>
    <row r="36" spans="1:18" s="6" customFormat="1" ht="44.25" x14ac:dyDescent="0.8">
      <c r="A36"/>
      <c r="B36"/>
      <c r="C36"/>
      <c r="D36"/>
      <c r="G36"/>
      <c r="H36"/>
      <c r="I36"/>
      <c r="J36"/>
      <c r="K36"/>
      <c r="L36"/>
      <c r="M36"/>
      <c r="N36"/>
      <c r="O36"/>
      <c r="P36"/>
      <c r="Q36"/>
      <c r="R36"/>
    </row>
    <row r="37" spans="1:18" s="6" customFormat="1" ht="44.25" hidden="1" x14ac:dyDescent="0.8">
      <c r="A37"/>
      <c r="B37"/>
      <c r="C37"/>
      <c r="D37"/>
      <c r="G37"/>
      <c r="H37"/>
      <c r="I37"/>
      <c r="J37"/>
      <c r="K37"/>
      <c r="L37"/>
      <c r="M37"/>
      <c r="N37"/>
      <c r="O37"/>
      <c r="P37"/>
      <c r="Q37"/>
      <c r="R37"/>
    </row>
  </sheetData>
  <sheetProtection selectLockedCells="1" sort="0" pivotTables="0"/>
  <protectedRanges>
    <protectedRange sqref="A1:D1" name="Rango1"/>
  </protectedRanges>
  <mergeCells count="14">
    <mergeCell ref="A1:D1"/>
    <mergeCell ref="A2:B2"/>
    <mergeCell ref="C2:D2"/>
    <mergeCell ref="A4:D5"/>
    <mergeCell ref="Q15:R16"/>
    <mergeCell ref="G15:H16"/>
    <mergeCell ref="L15:M16"/>
    <mergeCell ref="A6:B6"/>
    <mergeCell ref="A7:B7"/>
    <mergeCell ref="A8:B8"/>
    <mergeCell ref="A9:B9"/>
    <mergeCell ref="A13:B13"/>
    <mergeCell ref="A14:B14"/>
    <mergeCell ref="A12:B12"/>
  </mergeCells>
  <phoneticPr fontId="3" type="noConversion"/>
  <conditionalFormatting sqref="D7">
    <cfRule type="cellIs" dxfId="36" priority="6" operator="lessThan">
      <formula>$C$7</formula>
    </cfRule>
    <cfRule type="cellIs" dxfId="35" priority="11" operator="between">
      <formula>C7*0.8</formula>
      <formula>C7</formula>
    </cfRule>
    <cfRule type="cellIs" dxfId="34" priority="13" operator="lessThan">
      <formula>$C$7</formula>
    </cfRule>
    <cfRule type="cellIs" dxfId="33" priority="14" operator="greaterThan">
      <formula>$C$7</formula>
    </cfRule>
  </conditionalFormatting>
  <conditionalFormatting sqref="D8">
    <cfRule type="cellIs" dxfId="32" priority="15" operator="lessThan">
      <formula>$C$8</formula>
    </cfRule>
    <cfRule type="cellIs" dxfId="31" priority="16" operator="greaterThan">
      <formula>$C$8</formula>
    </cfRule>
  </conditionalFormatting>
  <conditionalFormatting sqref="H19:H24 I27:I31">
    <cfRule type="dataBar" priority="28">
      <dataBar>
        <cfvo type="num" val="0"/>
        <cfvo type="num" val="$H$25"/>
        <color theme="8" tint="-0.249977111117893"/>
      </dataBar>
      <extLst>
        <ext xmlns:x14="http://schemas.microsoft.com/office/spreadsheetml/2009/9/main" uri="{B025F937-C7B1-47D3-B67F-A62EFF666E3E}">
          <x14:id>{90E5B41C-31F4-4EF4-9280-9953728E6F37}</x14:id>
        </ext>
      </extLst>
    </cfRule>
  </conditionalFormatting>
  <conditionalFormatting sqref="D9">
    <cfRule type="cellIs" dxfId="30" priority="8" operator="between">
      <formula>$C$9*0.8</formula>
      <formula>$C$9</formula>
    </cfRule>
    <cfRule type="cellIs" dxfId="29" priority="9" operator="lessThan">
      <formula>$C$9*0.8</formula>
    </cfRule>
    <cfRule type="cellIs" dxfId="28" priority="10" operator="greaterThan">
      <formula>$C$9</formula>
    </cfRule>
  </conditionalFormatting>
  <conditionalFormatting sqref="D13">
    <cfRule type="cellIs" dxfId="27" priority="3" operator="lessThan">
      <formula>$C$13</formula>
    </cfRule>
    <cfRule type="cellIs" dxfId="26" priority="4" operator="greaterThanOrEqual">
      <formula>$C$13</formula>
    </cfRule>
  </conditionalFormatting>
  <conditionalFormatting sqref="D14">
    <cfRule type="cellIs" dxfId="25" priority="1" operator="greaterThan">
      <formula>$C$14</formula>
    </cfRule>
    <cfRule type="cellIs" dxfId="24" priority="2" operator="lessThanOrEqual">
      <formula>$C$14</formula>
    </cfRule>
  </conditionalFormatting>
  <conditionalFormatting sqref="R19:R23">
    <cfRule type="dataBar" priority="42">
      <dataBar>
        <cfvo type="num" val="0"/>
        <cfvo type="num" val="$R$24"/>
        <color rgb="FFE16651"/>
      </dataBar>
      <extLst>
        <ext xmlns:x14="http://schemas.microsoft.com/office/spreadsheetml/2009/9/main" uri="{B025F937-C7B1-47D3-B67F-A62EFF666E3E}">
          <x14:id>{87ABCCD7-E96D-4302-9BA0-32846036AF26}</x14:id>
        </ext>
      </extLst>
    </cfRule>
  </conditionalFormatting>
  <conditionalFormatting sqref="N27:O29 M31 M19:M22">
    <cfRule type="dataBar" priority="43">
      <dataBar>
        <cfvo type="num" val="0"/>
        <cfvo type="num" val="$M$22"/>
        <color rgb="FFE16651"/>
      </dataBar>
      <extLst>
        <ext xmlns:x14="http://schemas.microsoft.com/office/spreadsheetml/2009/9/main" uri="{B025F937-C7B1-47D3-B67F-A62EFF666E3E}">
          <x14:id>{2B59FB18-4504-421A-9AE5-73325DAA32D5}</x14:id>
        </ext>
      </extLst>
    </cfRule>
  </conditionalFormatting>
  <dataValidations count="1">
    <dataValidation type="list" allowBlank="1" showErrorMessage="1" errorTitle="Selecciona un mes" error="Selecciona un mes de la lista desplegable" promptTitle="Selecciona un mes " prompt="Haz clic en la lista desplegable" sqref="A1:D1" xr:uid="{E64BA8D7-EEE9-4D4D-8A72-CA796240011E}">
      <formula1>MONTH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E5B41C-31F4-4EF4-9280-9953728E6F37}">
            <x14:dataBar minLength="0" maxLength="100" gradient="0">
              <x14:cfvo type="num">
                <xm:f>0</xm:f>
              </x14:cfvo>
              <x14:cfvo type="num">
                <xm:f>$H$25</xm:f>
              </x14:cfvo>
              <x14:negativeFillColor rgb="FFFF0000"/>
              <x14:axisColor rgb="FF000000"/>
            </x14:dataBar>
          </x14:cfRule>
          <xm:sqref>H19:H24 I27:I31</xm:sqref>
        </x14:conditionalFormatting>
        <x14:conditionalFormatting xmlns:xm="http://schemas.microsoft.com/office/excel/2006/main">
          <x14:cfRule type="dataBar" id="{87ABCCD7-E96D-4302-9BA0-32846036AF26}">
            <x14:dataBar minLength="0" maxLength="100" gradient="0">
              <x14:cfvo type="num">
                <xm:f>0</xm:f>
              </x14:cfvo>
              <x14:cfvo type="num">
                <xm:f>$R$24</xm:f>
              </x14:cfvo>
              <x14:negativeFillColor rgb="FFFF0000"/>
              <x14:axisColor rgb="FF000000"/>
            </x14:dataBar>
          </x14:cfRule>
          <xm:sqref>R19:R23</xm:sqref>
        </x14:conditionalFormatting>
        <x14:conditionalFormatting xmlns:xm="http://schemas.microsoft.com/office/excel/2006/main">
          <x14:cfRule type="dataBar" id="{2B59FB18-4504-421A-9AE5-73325DAA32D5}">
            <x14:dataBar minLength="0" maxLength="100" gradient="0">
              <x14:cfvo type="num">
                <xm:f>0</xm:f>
              </x14:cfvo>
              <x14:cfvo type="num">
                <xm:f>$M$22</xm:f>
              </x14:cfvo>
              <x14:negativeFillColor rgb="FFFF0000"/>
              <x14:axisColor rgb="FF000000"/>
            </x14:dataBar>
          </x14:cfRule>
          <xm:sqref>N27:O29 M31 M19:M22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BFFEF-F2D5-4AA5-AC85-D50E95E2AEFC}">
  <sheetPr codeName="Hoja7"/>
  <dimension ref="A1:B13"/>
  <sheetViews>
    <sheetView workbookViewId="0">
      <selection activeCell="B1" sqref="B1:E1"/>
    </sheetView>
  </sheetViews>
  <sheetFormatPr baseColWidth="10" defaultRowHeight="18" x14ac:dyDescent="0.35"/>
  <cols>
    <col min="1" max="1" width="16.109375" bestFit="1" customWidth="1"/>
    <col min="2" max="2" width="16.77734375" customWidth="1"/>
    <col min="3" max="3" width="3.88671875" bestFit="1" customWidth="1"/>
    <col min="4" max="4" width="8.5546875" bestFit="1" customWidth="1"/>
    <col min="5" max="5" width="8.6640625" bestFit="1" customWidth="1"/>
    <col min="6" max="6" width="8.5546875" bestFit="1" customWidth="1"/>
    <col min="7" max="8" width="8.6640625" bestFit="1" customWidth="1"/>
    <col min="9" max="9" width="8.77734375" bestFit="1" customWidth="1"/>
    <col min="10" max="10" width="8.6640625" bestFit="1" customWidth="1"/>
    <col min="11" max="11" width="8.77734375" bestFit="1" customWidth="1"/>
    <col min="12" max="12" width="8.6640625" bestFit="1" customWidth="1"/>
    <col min="13" max="15" width="8.77734375" bestFit="1" customWidth="1"/>
    <col min="16" max="16" width="8.88671875" bestFit="1" customWidth="1"/>
    <col min="17" max="17" width="9" bestFit="1" customWidth="1"/>
    <col min="18" max="18" width="8.88671875" bestFit="1" customWidth="1"/>
    <col min="19" max="19" width="9" bestFit="1" customWidth="1"/>
    <col min="20" max="20" width="8.88671875" bestFit="1" customWidth="1"/>
    <col min="21" max="21" width="9" bestFit="1" customWidth="1"/>
    <col min="22" max="22" width="8.5546875" bestFit="1" customWidth="1"/>
    <col min="23" max="23" width="8.77734375" bestFit="1" customWidth="1"/>
    <col min="24" max="24" width="8.88671875" bestFit="1" customWidth="1"/>
    <col min="25" max="25" width="8.6640625" bestFit="1" customWidth="1"/>
    <col min="26" max="26" width="8.88671875" bestFit="1" customWidth="1"/>
    <col min="27" max="28" width="8.77734375" bestFit="1" customWidth="1"/>
  </cols>
  <sheetData>
    <row r="1" spans="1:2" x14ac:dyDescent="0.35">
      <c r="A1" s="1" t="s">
        <v>18</v>
      </c>
    </row>
    <row r="2" spans="1:2" x14ac:dyDescent="0.35">
      <c r="A2" s="2" t="s">
        <v>62</v>
      </c>
      <c r="B2" t="str">
        <f>IF(A2="","NO SELECCIONADO",UPPER(A2))</f>
        <v>ENE</v>
      </c>
    </row>
    <row r="3" spans="1:2" x14ac:dyDescent="0.35">
      <c r="A3" s="2" t="s">
        <v>64</v>
      </c>
      <c r="B3" t="str">
        <f t="shared" ref="B3:B13" si="0">IF(A3="","NO SELECCIONADO",UPPER(A3))</f>
        <v>FEB</v>
      </c>
    </row>
    <row r="4" spans="1:2" x14ac:dyDescent="0.35">
      <c r="A4" s="2" t="s">
        <v>75</v>
      </c>
      <c r="B4" t="str">
        <f t="shared" si="0"/>
        <v>MAR</v>
      </c>
    </row>
    <row r="5" spans="1:2" x14ac:dyDescent="0.35">
      <c r="A5" s="2" t="s">
        <v>12</v>
      </c>
      <c r="B5" t="str">
        <f t="shared" si="0"/>
        <v>JUL</v>
      </c>
    </row>
    <row r="6" spans="1:2" x14ac:dyDescent="0.35">
      <c r="A6" s="2" t="s">
        <v>13</v>
      </c>
      <c r="B6" t="str">
        <f t="shared" si="0"/>
        <v>AGO</v>
      </c>
    </row>
    <row r="7" spans="1:2" x14ac:dyDescent="0.35">
      <c r="A7" s="2" t="s">
        <v>25</v>
      </c>
      <c r="B7" t="str">
        <f t="shared" si="0"/>
        <v>SEP</v>
      </c>
    </row>
    <row r="8" spans="1:2" x14ac:dyDescent="0.35">
      <c r="A8" s="2" t="s">
        <v>49</v>
      </c>
      <c r="B8" t="str">
        <f t="shared" si="0"/>
        <v>OCT</v>
      </c>
    </row>
    <row r="9" spans="1:2" x14ac:dyDescent="0.35">
      <c r="A9" s="2" t="s">
        <v>51</v>
      </c>
      <c r="B9" t="str">
        <f t="shared" si="0"/>
        <v>NOV</v>
      </c>
    </row>
    <row r="10" spans="1:2" x14ac:dyDescent="0.35">
      <c r="A10" s="2" t="s">
        <v>52</v>
      </c>
      <c r="B10" t="str">
        <f t="shared" si="0"/>
        <v>DIC</v>
      </c>
    </row>
    <row r="11" spans="1:2" x14ac:dyDescent="0.35">
      <c r="B11" t="str">
        <f t="shared" si="0"/>
        <v>NO SELECCIONADO</v>
      </c>
    </row>
    <row r="12" spans="1:2" x14ac:dyDescent="0.35">
      <c r="B12" t="str">
        <f t="shared" si="0"/>
        <v>NO SELECCIONADO</v>
      </c>
    </row>
    <row r="13" spans="1:2" x14ac:dyDescent="0.35">
      <c r="B13" t="str">
        <f t="shared" si="0"/>
        <v>NO SELECCIONADO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0CA0-13BF-4910-B129-615F9891F60B}">
  <sheetPr codeName="Hoja4"/>
  <dimension ref="A3:J51"/>
  <sheetViews>
    <sheetView topLeftCell="A4" zoomScale="84" workbookViewId="0">
      <selection activeCell="B1" sqref="B1:E1"/>
    </sheetView>
  </sheetViews>
  <sheetFormatPr baseColWidth="10" defaultRowHeight="18" x14ac:dyDescent="0.35"/>
  <cols>
    <col min="1" max="1" width="17.5546875" bestFit="1" customWidth="1"/>
    <col min="2" max="2" width="20.5546875" bestFit="1" customWidth="1"/>
    <col min="3" max="3" width="11.88671875" bestFit="1" customWidth="1"/>
    <col min="4" max="6" width="12.33203125" bestFit="1" customWidth="1"/>
    <col min="7" max="7" width="12.21875" bestFit="1" customWidth="1"/>
    <col min="8" max="8" width="12.33203125" bestFit="1" customWidth="1"/>
    <col min="9" max="9" width="11.88671875" bestFit="1" customWidth="1"/>
    <col min="10" max="10" width="11" bestFit="1" customWidth="1"/>
    <col min="11" max="12" width="13.44140625" bestFit="1" customWidth="1"/>
    <col min="13" max="13" width="15.44140625" bestFit="1" customWidth="1"/>
    <col min="14" max="14" width="15.6640625" bestFit="1" customWidth="1"/>
    <col min="15" max="15" width="15.5546875" bestFit="1" customWidth="1"/>
    <col min="16" max="16" width="15.6640625" bestFit="1" customWidth="1"/>
    <col min="17" max="17" width="15.5546875" bestFit="1" customWidth="1"/>
    <col min="18" max="18" width="15.6640625" bestFit="1" customWidth="1"/>
    <col min="19" max="19" width="15.44140625" bestFit="1" customWidth="1"/>
    <col min="20" max="20" width="15.5546875" bestFit="1" customWidth="1"/>
    <col min="21" max="21" width="15.33203125" bestFit="1" customWidth="1"/>
    <col min="22" max="22" width="15.5546875" bestFit="1" customWidth="1"/>
    <col min="23" max="23" width="19.33203125" bestFit="1" customWidth="1"/>
    <col min="24" max="24" width="19.44140625" bestFit="1" customWidth="1"/>
    <col min="25" max="26" width="19.5546875" bestFit="1" customWidth="1"/>
    <col min="27" max="28" width="19.21875" bestFit="1" customWidth="1"/>
    <col min="29" max="30" width="19.33203125" bestFit="1" customWidth="1"/>
  </cols>
  <sheetData>
    <row r="3" spans="1:8" x14ac:dyDescent="0.35">
      <c r="A3" s="1" t="s">
        <v>5</v>
      </c>
      <c r="B3" s="1" t="s">
        <v>19</v>
      </c>
    </row>
    <row r="4" spans="1:8" x14ac:dyDescent="0.35">
      <c r="B4" t="s">
        <v>17</v>
      </c>
      <c r="H4" t="s">
        <v>63</v>
      </c>
    </row>
    <row r="5" spans="1:8" x14ac:dyDescent="0.35">
      <c r="A5" s="1" t="s">
        <v>18</v>
      </c>
      <c r="B5" t="s">
        <v>12</v>
      </c>
      <c r="C5" t="s">
        <v>13</v>
      </c>
      <c r="D5" t="s">
        <v>25</v>
      </c>
      <c r="E5" t="s">
        <v>49</v>
      </c>
      <c r="F5" t="s">
        <v>51</v>
      </c>
      <c r="G5" t="s">
        <v>52</v>
      </c>
      <c r="H5" t="s">
        <v>64</v>
      </c>
    </row>
    <row r="6" spans="1:8" x14ac:dyDescent="0.35">
      <c r="A6" s="2" t="s">
        <v>37</v>
      </c>
      <c r="B6" s="3"/>
      <c r="C6" s="3"/>
      <c r="D6" s="3"/>
      <c r="E6" s="3"/>
      <c r="F6" s="3"/>
      <c r="G6" s="3"/>
      <c r="H6" s="3"/>
    </row>
    <row r="7" spans="1:8" x14ac:dyDescent="0.35">
      <c r="A7" s="4" t="s">
        <v>23</v>
      </c>
      <c r="B7" s="3">
        <v>7000</v>
      </c>
      <c r="C7" s="3"/>
      <c r="D7" s="3"/>
      <c r="E7" s="3"/>
      <c r="F7" s="3"/>
      <c r="G7" s="3"/>
      <c r="H7" s="3"/>
    </row>
    <row r="8" spans="1:8" x14ac:dyDescent="0.35">
      <c r="A8" s="4" t="s">
        <v>24</v>
      </c>
      <c r="B8" s="3">
        <v>30000</v>
      </c>
      <c r="C8" s="3">
        <v>195721</v>
      </c>
      <c r="D8" s="3">
        <v>171553</v>
      </c>
      <c r="E8" s="3">
        <v>332366</v>
      </c>
      <c r="F8" s="3">
        <v>166000</v>
      </c>
      <c r="G8" s="3"/>
      <c r="H8" s="3">
        <v>126535</v>
      </c>
    </row>
    <row r="9" spans="1:8" x14ac:dyDescent="0.35">
      <c r="A9" s="4" t="s">
        <v>21</v>
      </c>
      <c r="B9" s="3"/>
      <c r="C9" s="3"/>
      <c r="D9" s="3">
        <v>60000</v>
      </c>
      <c r="E9" s="3"/>
      <c r="F9" s="3"/>
      <c r="G9" s="3"/>
      <c r="H9" s="3"/>
    </row>
    <row r="10" spans="1:8" x14ac:dyDescent="0.35">
      <c r="A10" s="4" t="s">
        <v>10</v>
      </c>
      <c r="B10" s="3"/>
      <c r="C10" s="3">
        <v>100</v>
      </c>
      <c r="D10" s="3"/>
      <c r="E10" s="3"/>
      <c r="F10" s="3"/>
      <c r="G10" s="3"/>
      <c r="H10" s="3"/>
    </row>
    <row r="11" spans="1:8" x14ac:dyDescent="0.35">
      <c r="A11" s="4" t="s">
        <v>11</v>
      </c>
      <c r="B11" s="3"/>
      <c r="C11" s="3">
        <v>60000</v>
      </c>
      <c r="D11" s="3"/>
      <c r="E11" s="3"/>
      <c r="F11" s="3"/>
      <c r="G11" s="3"/>
      <c r="H11" s="3"/>
    </row>
    <row r="12" spans="1:8" x14ac:dyDescent="0.35">
      <c r="A12" s="4" t="s">
        <v>3</v>
      </c>
      <c r="B12" s="3">
        <v>250000</v>
      </c>
      <c r="C12" s="3">
        <v>125000</v>
      </c>
      <c r="D12" s="3">
        <v>500000</v>
      </c>
      <c r="E12" s="3">
        <v>500000</v>
      </c>
      <c r="F12" s="3">
        <v>500000</v>
      </c>
      <c r="G12" s="3">
        <v>250000</v>
      </c>
      <c r="H12" s="3">
        <v>500000</v>
      </c>
    </row>
    <row r="13" spans="1:8" x14ac:dyDescent="0.35">
      <c r="A13" s="4" t="s">
        <v>1</v>
      </c>
      <c r="B13" s="3">
        <v>245000</v>
      </c>
      <c r="C13" s="3">
        <v>15000</v>
      </c>
      <c r="D13" s="3"/>
      <c r="E13" s="3"/>
      <c r="F13" s="3"/>
      <c r="G13" s="3"/>
      <c r="H13" s="3"/>
    </row>
    <row r="19" spans="1:10" x14ac:dyDescent="0.35">
      <c r="A19" s="1" t="s">
        <v>5</v>
      </c>
      <c r="B19" s="1" t="s">
        <v>19</v>
      </c>
    </row>
    <row r="20" spans="1:10" x14ac:dyDescent="0.35">
      <c r="B20" t="s">
        <v>17</v>
      </c>
      <c r="H20" t="s">
        <v>63</v>
      </c>
    </row>
    <row r="21" spans="1:10" x14ac:dyDescent="0.35">
      <c r="A21" s="1" t="s">
        <v>18</v>
      </c>
      <c r="B21" t="s">
        <v>12</v>
      </c>
      <c r="C21" t="s">
        <v>13</v>
      </c>
      <c r="D21" t="s">
        <v>25</v>
      </c>
      <c r="E21" t="s">
        <v>49</v>
      </c>
      <c r="F21" t="s">
        <v>51</v>
      </c>
      <c r="G21" t="s">
        <v>52</v>
      </c>
      <c r="H21" t="s">
        <v>62</v>
      </c>
      <c r="I21" t="s">
        <v>64</v>
      </c>
      <c r="J21" t="s">
        <v>75</v>
      </c>
    </row>
    <row r="22" spans="1:10" x14ac:dyDescent="0.35">
      <c r="A22" s="2" t="s">
        <v>46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x14ac:dyDescent="0.35">
      <c r="A23" s="4" t="s">
        <v>23</v>
      </c>
      <c r="B23" s="3">
        <v>89650</v>
      </c>
      <c r="C23" s="3">
        <v>144430</v>
      </c>
      <c r="D23" s="3">
        <v>15300</v>
      </c>
      <c r="E23" s="3">
        <v>263100</v>
      </c>
      <c r="F23" s="3">
        <v>58665</v>
      </c>
      <c r="G23" s="3">
        <v>15000</v>
      </c>
      <c r="H23" s="3"/>
      <c r="I23" s="3">
        <v>81600</v>
      </c>
      <c r="J23" s="3">
        <v>12500</v>
      </c>
    </row>
    <row r="24" spans="1:10" x14ac:dyDescent="0.35">
      <c r="A24" s="4" t="s">
        <v>24</v>
      </c>
      <c r="B24" s="3"/>
      <c r="C24" s="3"/>
      <c r="D24" s="3">
        <v>210</v>
      </c>
      <c r="E24" s="3"/>
      <c r="F24" s="3"/>
      <c r="G24" s="3"/>
      <c r="H24" s="3"/>
      <c r="I24" s="3"/>
      <c r="J24" s="3"/>
    </row>
    <row r="25" spans="1:10" x14ac:dyDescent="0.35">
      <c r="A25" s="4" t="s">
        <v>10</v>
      </c>
      <c r="B25" s="3">
        <v>275</v>
      </c>
      <c r="C25" s="3">
        <v>246</v>
      </c>
      <c r="D25" s="3">
        <v>3000</v>
      </c>
      <c r="E25" s="3"/>
      <c r="F25" s="3"/>
      <c r="G25" s="3"/>
      <c r="H25" s="3"/>
      <c r="I25" s="3"/>
      <c r="J25" s="3"/>
    </row>
    <row r="26" spans="1:10" x14ac:dyDescent="0.35">
      <c r="A26" s="4" t="s">
        <v>1</v>
      </c>
      <c r="B26" s="3">
        <v>61400</v>
      </c>
      <c r="C26" s="3"/>
      <c r="D26" s="3"/>
      <c r="E26" s="3"/>
      <c r="F26" s="3"/>
      <c r="G26" s="3"/>
      <c r="H26" s="3"/>
      <c r="I26" s="3"/>
      <c r="J26" s="3"/>
    </row>
    <row r="27" spans="1:10" x14ac:dyDescent="0.35">
      <c r="A27" s="4" t="s">
        <v>8</v>
      </c>
      <c r="B27" s="3">
        <v>64000</v>
      </c>
      <c r="C27" s="3">
        <v>110500</v>
      </c>
      <c r="D27" s="3">
        <v>188156</v>
      </c>
      <c r="E27" s="3">
        <v>229668</v>
      </c>
      <c r="F27" s="3"/>
      <c r="G27" s="3">
        <v>280033</v>
      </c>
      <c r="H27" s="3">
        <v>318488</v>
      </c>
      <c r="I27" s="3">
        <v>236100</v>
      </c>
      <c r="J27" s="3">
        <v>41800</v>
      </c>
    </row>
    <row r="28" spans="1:10" x14ac:dyDescent="0.35">
      <c r="A28" s="4" t="s">
        <v>22</v>
      </c>
      <c r="B28" s="3">
        <v>3910</v>
      </c>
      <c r="C28" s="3">
        <v>21390</v>
      </c>
      <c r="D28" s="3">
        <v>21390</v>
      </c>
      <c r="E28" s="3">
        <v>21390</v>
      </c>
      <c r="F28" s="3">
        <v>21390</v>
      </c>
      <c r="G28" s="3"/>
      <c r="H28" s="3">
        <v>21400</v>
      </c>
      <c r="I28" s="3"/>
      <c r="J28" s="3"/>
    </row>
    <row r="29" spans="1:10" x14ac:dyDescent="0.35">
      <c r="A29" s="4" t="s">
        <v>9</v>
      </c>
      <c r="B29" s="3">
        <v>155000</v>
      </c>
      <c r="C29" s="3"/>
      <c r="D29" s="3"/>
      <c r="E29" s="3"/>
      <c r="F29" s="3"/>
      <c r="G29" s="3"/>
      <c r="H29" s="3"/>
      <c r="I29" s="3"/>
      <c r="J29" s="3"/>
    </row>
    <row r="30" spans="1:10" x14ac:dyDescent="0.35">
      <c r="A30" s="4" t="s">
        <v>2</v>
      </c>
      <c r="B30" s="3">
        <v>115400</v>
      </c>
      <c r="C30" s="3">
        <v>46000</v>
      </c>
      <c r="D30" s="3">
        <v>71700</v>
      </c>
      <c r="E30" s="3">
        <v>117550</v>
      </c>
      <c r="F30" s="3">
        <v>60300</v>
      </c>
      <c r="G30" s="3"/>
      <c r="H30" s="3"/>
      <c r="I30" s="3">
        <v>70800</v>
      </c>
      <c r="J30" s="3"/>
    </row>
    <row r="31" spans="1:10" x14ac:dyDescent="0.35">
      <c r="A31" s="4" t="s">
        <v>50</v>
      </c>
      <c r="B31" s="3"/>
      <c r="C31" s="3"/>
      <c r="D31" s="3"/>
      <c r="E31" s="3">
        <v>103900</v>
      </c>
      <c r="F31" s="3">
        <v>348600</v>
      </c>
      <c r="G31" s="3"/>
      <c r="H31" s="3"/>
      <c r="I31" s="3">
        <v>18743</v>
      </c>
      <c r="J31" s="3">
        <v>7411</v>
      </c>
    </row>
    <row r="32" spans="1:10" x14ac:dyDescent="0.35">
      <c r="A32" s="4" t="s">
        <v>61</v>
      </c>
      <c r="B32" s="3"/>
      <c r="C32" s="3"/>
      <c r="D32" s="3"/>
      <c r="E32" s="3"/>
      <c r="F32" s="3"/>
      <c r="G32" s="3"/>
      <c r="H32" s="3"/>
      <c r="I32" s="3">
        <v>8500</v>
      </c>
      <c r="J32" s="3"/>
    </row>
    <row r="33" spans="1:10" x14ac:dyDescent="0.35">
      <c r="A33" s="4" t="s">
        <v>60</v>
      </c>
      <c r="B33" s="3"/>
      <c r="C33" s="3"/>
      <c r="D33" s="3"/>
      <c r="E33" s="3"/>
      <c r="F33" s="3"/>
      <c r="G33" s="3"/>
      <c r="H33" s="3"/>
      <c r="I33" s="3">
        <v>12900</v>
      </c>
      <c r="J33" s="3"/>
    </row>
    <row r="34" spans="1:10" x14ac:dyDescent="0.35">
      <c r="A34" s="4"/>
      <c r="B34" s="3"/>
      <c r="C34" s="3"/>
      <c r="D34" s="3"/>
    </row>
    <row r="35" spans="1:10" x14ac:dyDescent="0.35">
      <c r="A35" s="4"/>
      <c r="B35" s="3"/>
      <c r="C35" s="3"/>
      <c r="D35" s="3"/>
    </row>
    <row r="36" spans="1:10" x14ac:dyDescent="0.35">
      <c r="A36" s="4"/>
      <c r="B36" s="3"/>
      <c r="C36" s="3"/>
      <c r="D36" s="3"/>
    </row>
    <row r="37" spans="1:10" x14ac:dyDescent="0.35">
      <c r="A37" s="4"/>
      <c r="B37" s="3"/>
      <c r="C37" s="3"/>
      <c r="D37" s="3"/>
    </row>
    <row r="38" spans="1:10" x14ac:dyDescent="0.35">
      <c r="A38" s="4"/>
      <c r="B38" s="3"/>
      <c r="C38" s="3"/>
      <c r="D38" s="3"/>
    </row>
    <row r="40" spans="1:10" x14ac:dyDescent="0.35">
      <c r="A40" s="1" t="s">
        <v>5</v>
      </c>
    </row>
    <row r="41" spans="1:10" x14ac:dyDescent="0.35">
      <c r="B41" t="s">
        <v>37</v>
      </c>
      <c r="C41" t="s">
        <v>46</v>
      </c>
    </row>
    <row r="42" spans="1:10" x14ac:dyDescent="0.35">
      <c r="A42" s="2" t="s">
        <v>17</v>
      </c>
      <c r="B42" s="11">
        <v>3407740</v>
      </c>
      <c r="C42" s="11">
        <v>2631553</v>
      </c>
    </row>
    <row r="43" spans="1:10" x14ac:dyDescent="0.35">
      <c r="A43" s="4" t="s">
        <v>12</v>
      </c>
      <c r="B43" s="12">
        <v>532000</v>
      </c>
      <c r="C43" s="12">
        <v>489635</v>
      </c>
    </row>
    <row r="44" spans="1:10" x14ac:dyDescent="0.35">
      <c r="A44" s="4" t="s">
        <v>13</v>
      </c>
      <c r="B44" s="12">
        <v>395821</v>
      </c>
      <c r="C44" s="12">
        <v>322566</v>
      </c>
    </row>
    <row r="45" spans="1:10" x14ac:dyDescent="0.35">
      <c r="A45" s="4" t="s">
        <v>25</v>
      </c>
      <c r="B45" s="12">
        <v>731553</v>
      </c>
      <c r="C45" s="12">
        <v>299756</v>
      </c>
    </row>
    <row r="46" spans="1:10" x14ac:dyDescent="0.35">
      <c r="A46" s="4" t="s">
        <v>49</v>
      </c>
      <c r="B46" s="12">
        <v>832366</v>
      </c>
      <c r="C46" s="12">
        <v>735608</v>
      </c>
    </row>
    <row r="47" spans="1:10" x14ac:dyDescent="0.35">
      <c r="A47" s="4" t="s">
        <v>51</v>
      </c>
      <c r="B47" s="12">
        <v>666000</v>
      </c>
      <c r="C47" s="12">
        <v>488955</v>
      </c>
    </row>
    <row r="48" spans="1:10" x14ac:dyDescent="0.35">
      <c r="A48" s="4" t="s">
        <v>52</v>
      </c>
      <c r="B48" s="12">
        <v>250000</v>
      </c>
      <c r="C48" s="12">
        <v>295033</v>
      </c>
    </row>
    <row r="49" spans="1:3" x14ac:dyDescent="0.35">
      <c r="A49" s="2" t="s">
        <v>63</v>
      </c>
      <c r="B49" s="12">
        <v>626535</v>
      </c>
      <c r="C49" s="12">
        <v>428643</v>
      </c>
    </row>
    <row r="50" spans="1:3" x14ac:dyDescent="0.35">
      <c r="A50" s="4" t="s">
        <v>64</v>
      </c>
      <c r="B50" s="12">
        <v>626535</v>
      </c>
      <c r="C50" s="12">
        <v>428643</v>
      </c>
    </row>
    <row r="51" spans="1:3" x14ac:dyDescent="0.35">
      <c r="A51" s="2" t="s">
        <v>4</v>
      </c>
      <c r="B51" s="13">
        <v>4034275</v>
      </c>
      <c r="C51" s="13">
        <v>3060196</v>
      </c>
    </row>
  </sheetData>
  <protectedRanges>
    <protectedRange sqref="A40" name="Rango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E208B-EA34-4326-A7E7-ABA1782CBD5C}">
  <sheetPr codeName="Hoja5"/>
  <dimension ref="A1:D11"/>
  <sheetViews>
    <sheetView zoomScaleNormal="100" workbookViewId="0">
      <selection activeCell="B1" sqref="B1:E1"/>
    </sheetView>
  </sheetViews>
  <sheetFormatPr baseColWidth="10" defaultRowHeight="18" x14ac:dyDescent="0.35"/>
  <cols>
    <col min="1" max="1" width="16.109375" bestFit="1" customWidth="1"/>
    <col min="2" max="3" width="11.88671875" bestFit="1" customWidth="1"/>
    <col min="4" max="4" width="11" bestFit="1" customWidth="1"/>
    <col min="5" max="6" width="12.21875" bestFit="1" customWidth="1"/>
    <col min="7" max="7" width="12.109375" bestFit="1" customWidth="1"/>
    <col min="8" max="10" width="13.33203125" bestFit="1" customWidth="1"/>
    <col min="11" max="12" width="13.44140625" bestFit="1" customWidth="1"/>
    <col min="13" max="13" width="15.44140625" bestFit="1" customWidth="1"/>
    <col min="14" max="14" width="15.6640625" bestFit="1" customWidth="1"/>
    <col min="15" max="15" width="15.5546875" bestFit="1" customWidth="1"/>
    <col min="16" max="16" width="15.6640625" bestFit="1" customWidth="1"/>
    <col min="17" max="17" width="15.5546875" bestFit="1" customWidth="1"/>
    <col min="18" max="18" width="15.6640625" bestFit="1" customWidth="1"/>
    <col min="19" max="19" width="15.44140625" bestFit="1" customWidth="1"/>
    <col min="20" max="20" width="15.5546875" bestFit="1" customWidth="1"/>
    <col min="21" max="21" width="15.33203125" bestFit="1" customWidth="1"/>
    <col min="22" max="22" width="15.5546875" bestFit="1" customWidth="1"/>
    <col min="23" max="23" width="19.33203125" bestFit="1" customWidth="1"/>
    <col min="24" max="24" width="19.44140625" bestFit="1" customWidth="1"/>
    <col min="25" max="26" width="19.5546875" bestFit="1" customWidth="1"/>
    <col min="27" max="28" width="19.21875" bestFit="1" customWidth="1"/>
    <col min="29" max="30" width="19.33203125" bestFit="1" customWidth="1"/>
  </cols>
  <sheetData>
    <row r="1" spans="1:4" x14ac:dyDescent="0.35">
      <c r="A1" s="1" t="s">
        <v>14</v>
      </c>
    </row>
    <row r="2" spans="1:4" x14ac:dyDescent="0.35">
      <c r="B2" t="s">
        <v>63</v>
      </c>
    </row>
    <row r="3" spans="1:4" x14ac:dyDescent="0.35">
      <c r="B3" t="s">
        <v>62</v>
      </c>
      <c r="C3" t="s">
        <v>64</v>
      </c>
      <c r="D3" t="s">
        <v>75</v>
      </c>
    </row>
    <row r="4" spans="1:4" x14ac:dyDescent="0.35">
      <c r="A4" s="2" t="s">
        <v>46</v>
      </c>
      <c r="B4" s="3"/>
      <c r="C4" s="3"/>
      <c r="D4" s="3"/>
    </row>
    <row r="5" spans="1:4" x14ac:dyDescent="0.35">
      <c r="A5" s="4" t="s">
        <v>23</v>
      </c>
      <c r="B5" s="3"/>
      <c r="C5" s="3">
        <v>81600</v>
      </c>
      <c r="D5" s="3">
        <v>12500</v>
      </c>
    </row>
    <row r="6" spans="1:4" x14ac:dyDescent="0.35">
      <c r="A6" s="4" t="s">
        <v>8</v>
      </c>
      <c r="B6" s="3">
        <v>318488</v>
      </c>
      <c r="C6" s="3">
        <v>236100</v>
      </c>
      <c r="D6" s="3">
        <v>41800</v>
      </c>
    </row>
    <row r="7" spans="1:4" x14ac:dyDescent="0.35">
      <c r="A7" s="4" t="s">
        <v>22</v>
      </c>
      <c r="B7" s="3">
        <v>21400</v>
      </c>
      <c r="C7" s="3"/>
      <c r="D7" s="3"/>
    </row>
    <row r="8" spans="1:4" x14ac:dyDescent="0.35">
      <c r="A8" s="4" t="s">
        <v>2</v>
      </c>
      <c r="B8" s="3"/>
      <c r="C8" s="3">
        <v>70800</v>
      </c>
      <c r="D8" s="3"/>
    </row>
    <row r="9" spans="1:4" x14ac:dyDescent="0.35">
      <c r="A9" s="4" t="s">
        <v>50</v>
      </c>
      <c r="B9" s="3"/>
      <c r="C9" s="3">
        <v>18743</v>
      </c>
      <c r="D9" s="3">
        <v>7411</v>
      </c>
    </row>
    <row r="10" spans="1:4" x14ac:dyDescent="0.35">
      <c r="A10" s="4" t="s">
        <v>61</v>
      </c>
      <c r="B10" s="3"/>
      <c r="C10" s="3">
        <v>8500</v>
      </c>
      <c r="D10" s="3"/>
    </row>
    <row r="11" spans="1:4" x14ac:dyDescent="0.35">
      <c r="A11" s="4" t="s">
        <v>60</v>
      </c>
      <c r="B11" s="3"/>
      <c r="C11" s="3">
        <v>12900</v>
      </c>
      <c r="D1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E17F-492B-4BC8-B986-E3BE4DB31601}">
  <sheetPr codeName="Hoja6"/>
  <dimension ref="A1:H11"/>
  <sheetViews>
    <sheetView workbookViewId="0">
      <selection activeCell="B1" sqref="B1:E1"/>
    </sheetView>
  </sheetViews>
  <sheetFormatPr baseColWidth="10" defaultRowHeight="18" x14ac:dyDescent="0.35"/>
  <cols>
    <col min="1" max="1" width="14.88671875" bestFit="1" customWidth="1"/>
    <col min="2" max="2" width="12.21875" bestFit="1" customWidth="1"/>
    <col min="3" max="3" width="11.88671875" bestFit="1" customWidth="1"/>
    <col min="4" max="6" width="12.33203125" bestFit="1" customWidth="1"/>
    <col min="7" max="7" width="12.21875" bestFit="1" customWidth="1"/>
    <col min="8" max="8" width="12.33203125" bestFit="1" customWidth="1"/>
    <col min="9" max="9" width="12.21875" bestFit="1" customWidth="1"/>
    <col min="10" max="11" width="15.5546875" bestFit="1" customWidth="1"/>
    <col min="12" max="12" width="15.6640625" bestFit="1" customWidth="1"/>
    <col min="13" max="13" width="15.21875" bestFit="1" customWidth="1"/>
    <col min="14" max="14" width="15.44140625" bestFit="1" customWidth="1"/>
    <col min="15" max="15" width="15.5546875" bestFit="1" customWidth="1"/>
    <col min="16" max="16" width="15.33203125" bestFit="1" customWidth="1"/>
    <col min="17" max="17" width="15.5546875" bestFit="1" customWidth="1"/>
    <col min="18" max="19" width="15.44140625" bestFit="1" customWidth="1"/>
    <col min="20" max="20" width="19.33203125" bestFit="1" customWidth="1"/>
    <col min="21" max="22" width="19.44140625" bestFit="1" customWidth="1"/>
    <col min="23" max="23" width="19.5546875" bestFit="1" customWidth="1"/>
    <col min="24" max="26" width="19.33203125" bestFit="1" customWidth="1"/>
    <col min="27" max="27" width="19.21875" bestFit="1" customWidth="1"/>
  </cols>
  <sheetData>
    <row r="1" spans="1:8" x14ac:dyDescent="0.35">
      <c r="A1" s="1" t="s">
        <v>5</v>
      </c>
    </row>
    <row r="2" spans="1:8" x14ac:dyDescent="0.35">
      <c r="B2" t="s">
        <v>17</v>
      </c>
      <c r="H2" t="s">
        <v>63</v>
      </c>
    </row>
    <row r="3" spans="1:8" x14ac:dyDescent="0.35">
      <c r="B3" t="s">
        <v>12</v>
      </c>
      <c r="C3" t="s">
        <v>13</v>
      </c>
      <c r="D3" t="s">
        <v>25</v>
      </c>
      <c r="E3" t="s">
        <v>49</v>
      </c>
      <c r="F3" t="s">
        <v>51</v>
      </c>
      <c r="G3" t="s">
        <v>52</v>
      </c>
      <c r="H3" t="s">
        <v>64</v>
      </c>
    </row>
    <row r="4" spans="1:8" x14ac:dyDescent="0.35">
      <c r="A4" s="2" t="s">
        <v>37</v>
      </c>
      <c r="B4" s="3"/>
      <c r="C4" s="3"/>
      <c r="D4" s="3"/>
      <c r="E4" s="3"/>
      <c r="F4" s="3"/>
      <c r="G4" s="3"/>
      <c r="H4" s="3"/>
    </row>
    <row r="5" spans="1:8" x14ac:dyDescent="0.35">
      <c r="A5" s="4" t="s">
        <v>23</v>
      </c>
      <c r="B5" s="3">
        <v>7000</v>
      </c>
      <c r="C5" s="3"/>
      <c r="D5" s="3"/>
      <c r="E5" s="3"/>
      <c r="F5" s="3"/>
      <c r="G5" s="3"/>
      <c r="H5" s="3"/>
    </row>
    <row r="6" spans="1:8" x14ac:dyDescent="0.35">
      <c r="A6" s="4" t="s">
        <v>24</v>
      </c>
      <c r="B6" s="3">
        <v>30000</v>
      </c>
      <c r="C6" s="3">
        <v>195721</v>
      </c>
      <c r="D6" s="3">
        <v>171553</v>
      </c>
      <c r="E6" s="3">
        <v>332366</v>
      </c>
      <c r="F6" s="3">
        <v>166000</v>
      </c>
      <c r="G6" s="3"/>
      <c r="H6" s="3">
        <v>126535</v>
      </c>
    </row>
    <row r="7" spans="1:8" x14ac:dyDescent="0.35">
      <c r="A7" s="4" t="s">
        <v>21</v>
      </c>
      <c r="B7" s="3"/>
      <c r="C7" s="3"/>
      <c r="D7" s="3">
        <v>60000</v>
      </c>
      <c r="E7" s="3"/>
      <c r="F7" s="3"/>
      <c r="G7" s="3"/>
      <c r="H7" s="3"/>
    </row>
    <row r="8" spans="1:8" x14ac:dyDescent="0.35">
      <c r="A8" s="4" t="s">
        <v>10</v>
      </c>
      <c r="B8" s="3"/>
      <c r="C8" s="3">
        <v>100</v>
      </c>
      <c r="D8" s="3"/>
      <c r="E8" s="3"/>
      <c r="F8" s="3"/>
      <c r="G8" s="3"/>
      <c r="H8" s="3"/>
    </row>
    <row r="9" spans="1:8" x14ac:dyDescent="0.35">
      <c r="A9" s="4" t="s">
        <v>11</v>
      </c>
      <c r="B9" s="3"/>
      <c r="C9" s="3">
        <v>60000</v>
      </c>
      <c r="D9" s="3"/>
      <c r="E9" s="3"/>
      <c r="F9" s="3"/>
      <c r="G9" s="3"/>
      <c r="H9" s="3"/>
    </row>
    <row r="10" spans="1:8" x14ac:dyDescent="0.35">
      <c r="A10" s="4" t="s">
        <v>3</v>
      </c>
      <c r="B10" s="3">
        <v>250000</v>
      </c>
      <c r="C10" s="3">
        <v>125000</v>
      </c>
      <c r="D10" s="3">
        <v>500000</v>
      </c>
      <c r="E10" s="3">
        <v>500000</v>
      </c>
      <c r="F10" s="3">
        <v>500000</v>
      </c>
      <c r="G10" s="3">
        <v>250000</v>
      </c>
      <c r="H10" s="3">
        <v>500000</v>
      </c>
    </row>
    <row r="11" spans="1:8" x14ac:dyDescent="0.35">
      <c r="A11" s="4" t="s">
        <v>1</v>
      </c>
      <c r="B11" s="3">
        <v>245000</v>
      </c>
      <c r="C11" s="3">
        <v>15000</v>
      </c>
      <c r="D11" s="3"/>
      <c r="E11" s="3"/>
      <c r="F11" s="3"/>
      <c r="G11" s="3"/>
      <c r="H11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1700bb9-e549-42d3-b392-7889c01b067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D2C35FC8957A4E89FB800954E74096" ma:contentTypeVersion="6" ma:contentTypeDescription="Crear nuevo documento." ma:contentTypeScope="" ma:versionID="1489fd93e69b926fdb31bdc3f5a15f4b">
  <xsd:schema xmlns:xsd="http://www.w3.org/2001/XMLSchema" xmlns:xs="http://www.w3.org/2001/XMLSchema" xmlns:p="http://schemas.microsoft.com/office/2006/metadata/properties" xmlns:ns3="41700bb9-e549-42d3-b392-7889c01b0678" targetNamespace="http://schemas.microsoft.com/office/2006/metadata/properties" ma:root="true" ma:fieldsID="0a93ecd007cecf9521491f3dd5c74cc6" ns3:_="">
    <xsd:import namespace="41700bb9-e549-42d3-b392-7889c01b067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700bb9-e549-42d3-b392-7889c01b06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6ACABA-556C-421F-A256-49421FC65C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DF52F31-CA3D-4D34-8A8F-732C7E070ACD}">
  <ds:schemaRefs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http://purl.org/dc/elements/1.1/"/>
    <ds:schemaRef ds:uri="http://www.w3.org/XML/1998/namespace"/>
    <ds:schemaRef ds:uri="41700bb9-e549-42d3-b392-7889c01b0678"/>
  </ds:schemaRefs>
</ds:datastoreItem>
</file>

<file path=customXml/itemProps3.xml><?xml version="1.0" encoding="utf-8"?>
<ds:datastoreItem xmlns:ds="http://schemas.openxmlformats.org/officeDocument/2006/customXml" ds:itemID="{A9087E7F-B894-4CDD-B515-5499FA2D3A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700bb9-e549-42d3-b392-7889c01b06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14</vt:i4>
      </vt:variant>
    </vt:vector>
  </HeadingPairs>
  <TitlesOfParts>
    <vt:vector size="21" baseType="lpstr">
      <vt:lpstr>RECORD</vt:lpstr>
      <vt:lpstr>BUDGET</vt:lpstr>
      <vt:lpstr>ANALYSIS</vt:lpstr>
      <vt:lpstr>LISTAS</vt:lpstr>
      <vt:lpstr>TABLAS GRAFICAS</vt:lpstr>
      <vt:lpstr>TABLA GASTOS PRE</vt:lpstr>
      <vt:lpstr>TABLA INGRESOS PRE</vt:lpstr>
      <vt:lpstr>AÑOS</vt:lpstr>
      <vt:lpstr>BALANCE_ACTUAL</vt:lpstr>
      <vt:lpstr>BALANCE_DE_DINERO</vt:lpstr>
      <vt:lpstr>BALANCE_INICIAL</vt:lpstr>
      <vt:lpstr>BALANCE_REAL</vt:lpstr>
      <vt:lpstr>DESCRIPCION</vt:lpstr>
      <vt:lpstr>FECHA</vt:lpstr>
      <vt:lpstr>LISTA_DESCRIPCIONES</vt:lpstr>
      <vt:lpstr>ME</vt:lpstr>
      <vt:lpstr>LISTAS!MESES</vt:lpstr>
      <vt:lpstr>MESES</vt:lpstr>
      <vt:lpstr>MONTH</vt:lpstr>
      <vt:lpstr>TIPO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Alzate</dc:creator>
  <cp:lastModifiedBy>oscar ivan alzate martinez</cp:lastModifiedBy>
  <dcterms:created xsi:type="dcterms:W3CDTF">2025-07-14T03:13:08Z</dcterms:created>
  <dcterms:modified xsi:type="dcterms:W3CDTF">2026-03-06T00:00:53Z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0x01010033D2C35FC8957A4E89FB800954E74096</vt:lpwstr>
  </property>
</Properties>
</file>